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ork\doc\00.비용 및 예산\부서예산\"/>
    </mc:Choice>
  </mc:AlternateContent>
  <bookViews>
    <workbookView xWindow="0" yWindow="0" windowWidth="28800" windowHeight="12390" activeTab="2"/>
  </bookViews>
  <sheets>
    <sheet name="과정개발비" sheetId="1" r:id="rId1"/>
    <sheet name="광고판촉비" sheetId="2" r:id="rId2"/>
    <sheet name="시스템" sheetId="4" r:id="rId3"/>
    <sheet name="세미나" sheetId="3" r:id="rId4"/>
    <sheet name="인건비" sheetId="5" r:id="rId5"/>
  </sheets>
  <definedNames>
    <definedName name="_xlnm._FilterDatabase" localSheetId="2" hidden="1">시스템!$B$3:$K$83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82" i="4" l="1"/>
  <c r="K25" i="4" l="1"/>
  <c r="K20" i="4" l="1"/>
  <c r="K83" i="4" s="1"/>
  <c r="I63" i="5" l="1"/>
  <c r="I6" i="5" l="1"/>
  <c r="I61" i="5"/>
  <c r="I22" i="5"/>
  <c r="I17" i="5"/>
  <c r="I14" i="5"/>
  <c r="K27" i="3" l="1"/>
  <c r="K15" i="3" l="1"/>
  <c r="L32" i="2"/>
  <c r="L31" i="2"/>
  <c r="L13" i="2"/>
  <c r="L36" i="2"/>
  <c r="L27" i="2"/>
  <c r="L23" i="2"/>
  <c r="L18" i="2"/>
  <c r="L8" i="2"/>
  <c r="L19" i="2" l="1"/>
  <c r="J35" i="1" l="1"/>
  <c r="J30" i="1"/>
  <c r="J25" i="1"/>
  <c r="J19" i="1"/>
  <c r="J14" i="1"/>
  <c r="J9" i="1"/>
  <c r="J36" i="1" l="1"/>
</calcChain>
</file>

<file path=xl/sharedStrings.xml><?xml version="1.0" encoding="utf-8"?>
<sst xmlns="http://schemas.openxmlformats.org/spreadsheetml/2006/main" count="742" uniqueCount="309">
  <si>
    <t>총괄부서</t>
    <phoneticPr fontId="1" type="noConversion"/>
  </si>
  <si>
    <t>항목</t>
    <phoneticPr fontId="1" type="noConversion"/>
  </si>
  <si>
    <t>비용기준</t>
    <phoneticPr fontId="1" type="noConversion"/>
  </si>
  <si>
    <t>사용 용도</t>
    <phoneticPr fontId="1" type="noConversion"/>
  </si>
  <si>
    <t>예상 비용 구성</t>
    <phoneticPr fontId="1" type="noConversion"/>
  </si>
  <si>
    <t>신청 예산</t>
    <phoneticPr fontId="1" type="noConversion"/>
  </si>
  <si>
    <t>개발비_자체</t>
  </si>
  <si>
    <t>개발비_자체</t>
    <phoneticPr fontId="1" type="noConversion"/>
  </si>
  <si>
    <t>리뉴얼과정개발</t>
    <phoneticPr fontId="1" type="noConversion"/>
  </si>
  <si>
    <t>신규과정개발</t>
    <phoneticPr fontId="1" type="noConversion"/>
  </si>
  <si>
    <t>이러닝 
개발그룹</t>
    <phoneticPr fontId="1" type="noConversion"/>
  </si>
  <si>
    <t>품의 코드</t>
    <phoneticPr fontId="1" type="noConversion"/>
  </si>
  <si>
    <t>품질검사비</t>
    <phoneticPr fontId="1" type="noConversion"/>
  </si>
  <si>
    <t>개발 PM및 기타</t>
  </si>
  <si>
    <t>개발 PM및 기타</t>
    <phoneticPr fontId="1" type="noConversion"/>
  </si>
  <si>
    <t>외주용역비</t>
  </si>
  <si>
    <t>외주용역비</t>
    <phoneticPr fontId="1" type="noConversion"/>
  </si>
  <si>
    <r>
      <t xml:space="preserve">■ 과정개발 관련 예산 근거 </t>
    </r>
    <r>
      <rPr>
        <b/>
        <sz val="14"/>
        <color theme="1"/>
        <rFont val="맑은 고딕"/>
        <family val="3"/>
        <charset val="129"/>
        <scheme val="minor"/>
      </rPr>
      <t>(필요 시 행 추가 후 입력 가능)</t>
    </r>
    <phoneticPr fontId="1" type="noConversion"/>
  </si>
  <si>
    <t>개발비_집합</t>
  </si>
  <si>
    <t>개발비_집합</t>
    <phoneticPr fontId="1" type="noConversion"/>
  </si>
  <si>
    <t>B2C
콘텐츠
그룹</t>
    <phoneticPr fontId="1" type="noConversion"/>
  </si>
  <si>
    <t>ACTFL</t>
    <phoneticPr fontId="1" type="noConversion"/>
  </si>
  <si>
    <t>인건비</t>
    <phoneticPr fontId="1" type="noConversion"/>
  </si>
  <si>
    <t>강사워크숍</t>
    <phoneticPr fontId="1" type="noConversion"/>
  </si>
  <si>
    <t>…</t>
  </si>
  <si>
    <t>…</t>
    <phoneticPr fontId="1" type="noConversion"/>
  </si>
  <si>
    <t>…</t>
    <phoneticPr fontId="1" type="noConversion"/>
  </si>
  <si>
    <t>외국어
교육
개발
운영그룹</t>
    <phoneticPr fontId="1" type="noConversion"/>
  </si>
  <si>
    <t>SERICEO
개발
운영
그룹</t>
    <phoneticPr fontId="1" type="noConversion"/>
  </si>
  <si>
    <t>개발비_SERI</t>
  </si>
  <si>
    <t>개발비_SERI</t>
    <phoneticPr fontId="1" type="noConversion"/>
  </si>
  <si>
    <t>CEO출연료</t>
    <phoneticPr fontId="1" type="noConversion"/>
  </si>
  <si>
    <t>맞춤출연료</t>
    <phoneticPr fontId="1" type="noConversion"/>
  </si>
  <si>
    <t>소  계</t>
  </si>
  <si>
    <t>소  계</t>
    <phoneticPr fontId="1" type="noConversion"/>
  </si>
  <si>
    <t>합  계</t>
    <phoneticPr fontId="1" type="noConversion"/>
  </si>
  <si>
    <r>
      <t xml:space="preserve">■ 광고판촉비 관련 예산 근거 </t>
    </r>
    <r>
      <rPr>
        <b/>
        <sz val="14"/>
        <color theme="1"/>
        <rFont val="맑은 고딕"/>
        <family val="3"/>
        <charset val="129"/>
        <scheme val="minor"/>
      </rPr>
      <t>(필요 시 행 추가 후 입력 가능)</t>
    </r>
    <phoneticPr fontId="1" type="noConversion"/>
  </si>
  <si>
    <t>판매촉진비</t>
    <phoneticPr fontId="1" type="noConversion"/>
  </si>
  <si>
    <t>신청부서</t>
    <phoneticPr fontId="1" type="noConversion"/>
  </si>
  <si>
    <t>품의명</t>
  </si>
  <si>
    <t>품의명</t>
    <phoneticPr fontId="1" type="noConversion"/>
  </si>
  <si>
    <t>품의 코드</t>
  </si>
  <si>
    <t>홍보마케팅그룹</t>
    <phoneticPr fontId="1" type="noConversion"/>
  </si>
  <si>
    <t>고 객</t>
    <phoneticPr fontId="1" type="noConversion"/>
  </si>
  <si>
    <t>총괄</t>
    <phoneticPr fontId="1" type="noConversion"/>
  </si>
  <si>
    <t>000그룹</t>
    <phoneticPr fontId="1" type="noConversion"/>
  </si>
  <si>
    <t>합  계</t>
    <phoneticPr fontId="1" type="noConversion"/>
  </si>
  <si>
    <t>광고선전비</t>
    <phoneticPr fontId="1" type="noConversion"/>
  </si>
  <si>
    <t>협회비</t>
    <phoneticPr fontId="1" type="noConversion"/>
  </si>
  <si>
    <r>
      <t xml:space="preserve">■ 세미나 관련 예산 근거 </t>
    </r>
    <r>
      <rPr>
        <b/>
        <sz val="14"/>
        <color theme="1"/>
        <rFont val="맑은 고딕"/>
        <family val="3"/>
        <charset val="129"/>
        <scheme val="minor"/>
      </rPr>
      <t>(필요 시 행 추가 후 입력 가능)</t>
    </r>
    <phoneticPr fontId="1" type="noConversion"/>
  </si>
  <si>
    <t>회원사업그룹</t>
    <phoneticPr fontId="1" type="noConversion"/>
  </si>
  <si>
    <t>조찬세미나</t>
    <phoneticPr fontId="1" type="noConversion"/>
  </si>
  <si>
    <t>스파크세미나</t>
    <phoneticPr fontId="1" type="noConversion"/>
  </si>
  <si>
    <t xml:space="preserve"> 추가 다과 및 커피</t>
  </si>
  <si>
    <t xml:space="preserve"> LCD 대여</t>
  </si>
  <si>
    <t xml:space="preserve"> 마이크</t>
  </si>
  <si>
    <t xml:space="preserve"> 녹음</t>
  </si>
  <si>
    <t xml:space="preserve"> 주차</t>
  </si>
  <si>
    <t xml:space="preserve"> 강사료</t>
  </si>
  <si>
    <t xml:space="preserve"> 인쇄비</t>
  </si>
  <si>
    <t xml:space="preserve"> 명패제작</t>
  </si>
  <si>
    <t xml:space="preserve"> 기타 행사 물품구입 EX)현수막</t>
  </si>
  <si>
    <t xml:space="preserve"> 식대@53,000</t>
    <phoneticPr fontId="1" type="noConversion"/>
  </si>
  <si>
    <t>570명 참석 기준</t>
  </si>
  <si>
    <t xml:space="preserve"> …</t>
    <phoneticPr fontId="1" type="noConversion"/>
  </si>
  <si>
    <t>합  계</t>
    <phoneticPr fontId="1" type="noConversion"/>
  </si>
  <si>
    <t>비용귀속</t>
    <phoneticPr fontId="1" type="noConversion"/>
  </si>
  <si>
    <t>시스템BP인력</t>
    <phoneticPr fontId="1" type="noConversion"/>
  </si>
  <si>
    <r>
      <t xml:space="preserve">■ 시스템 관련 예산 근거 </t>
    </r>
    <r>
      <rPr>
        <b/>
        <sz val="14"/>
        <color theme="1"/>
        <rFont val="맑은 고딕"/>
        <family val="3"/>
        <charset val="129"/>
        <scheme val="minor"/>
      </rPr>
      <t>(필요 시 행 추가 후 입력 가능)</t>
    </r>
    <phoneticPr fontId="1" type="noConversion"/>
  </si>
  <si>
    <t>인사운영그룹</t>
    <phoneticPr fontId="1" type="noConversion"/>
  </si>
  <si>
    <t>급여</t>
    <phoneticPr fontId="1" type="noConversion"/>
  </si>
  <si>
    <t>임원급여</t>
  </si>
  <si>
    <t>직원급여</t>
  </si>
  <si>
    <t>입퇴사 인원 예상 반영</t>
  </si>
  <si>
    <t>상여</t>
    <phoneticPr fontId="1" type="noConversion"/>
  </si>
  <si>
    <t>관리자 조직운영지원비</t>
  </si>
  <si>
    <t>특별상여</t>
  </si>
  <si>
    <t>상반기TAI</t>
  </si>
  <si>
    <t>연차수당</t>
  </si>
  <si>
    <t>설귀성여비</t>
  </si>
  <si>
    <t>성과인센티브(ps)</t>
  </si>
  <si>
    <t>추석귀성여비</t>
  </si>
  <si>
    <t>예상기준</t>
  </si>
  <si>
    <t>2018년 연차미사용분 수당지급 예상액</t>
  </si>
  <si>
    <t>성과인센티브(ps) 12월 충당금 기준</t>
  </si>
  <si>
    <t>임원퇴직금</t>
  </si>
  <si>
    <t>직원퇴직금</t>
  </si>
  <si>
    <t>퇴직</t>
    <phoneticPr fontId="1" type="noConversion"/>
  </si>
  <si>
    <r>
      <t>복리후생</t>
    </r>
    <r>
      <rPr>
        <sz val="9"/>
        <color theme="1"/>
        <rFont val="맑은 고딕"/>
        <family val="3"/>
        <charset val="129"/>
      </rPr>
      <t>Ⅰ</t>
    </r>
    <phoneticPr fontId="1" type="noConversion"/>
  </si>
  <si>
    <t>국민연금</t>
  </si>
  <si>
    <t>건강보험료</t>
  </si>
  <si>
    <t>고용보험료</t>
  </si>
  <si>
    <t>산재보험료</t>
  </si>
  <si>
    <t>당월고지액/2 (10월분) 11월 납부</t>
  </si>
  <si>
    <t>당월고지액/ 2/3 (10월분) 11월 납부</t>
  </si>
  <si>
    <t>당월고지액 (10월분) 11월 납부</t>
  </si>
  <si>
    <t>복리후생 규정에 의거, 임직원 지급 件</t>
  </si>
  <si>
    <t>자녀학자금</t>
  </si>
  <si>
    <t>중식보조비</t>
  </si>
  <si>
    <t>휴양시설운영비</t>
  </si>
  <si>
    <t>경조비</t>
  </si>
  <si>
    <t>의료비</t>
  </si>
  <si>
    <t>임원 건강검진</t>
  </si>
  <si>
    <t>임원 의료비</t>
  </si>
  <si>
    <t>단체보험료</t>
  </si>
  <si>
    <t>개인연금</t>
  </si>
  <si>
    <t>선택적복리후생비</t>
  </si>
  <si>
    <t>임직원이자지원</t>
  </si>
  <si>
    <t>기타복리후생비(포상)</t>
  </si>
  <si>
    <t>통근버스 비용</t>
  </si>
  <si>
    <t>어린이집</t>
  </si>
  <si>
    <t>기타복리후생비(기타)</t>
  </si>
  <si>
    <t>임원자가운전보조금</t>
  </si>
  <si>
    <t>외국어생활관 강사 사택 월세지급</t>
  </si>
  <si>
    <r>
      <t xml:space="preserve">■ 인건비 관련 예산 근거 </t>
    </r>
    <r>
      <rPr>
        <b/>
        <sz val="14"/>
        <color theme="1"/>
        <rFont val="맑은 고딕"/>
        <family val="3"/>
        <charset val="129"/>
        <scheme val="minor"/>
      </rPr>
      <t>(필요 시 행 추가 후 입력 가능)</t>
    </r>
    <phoneticPr fontId="1" type="noConversion"/>
  </si>
  <si>
    <t>소  계</t>
    <phoneticPr fontId="1" type="noConversion"/>
  </si>
  <si>
    <t>운영용역비</t>
  </si>
  <si>
    <t>파견용역료(70명/ 5개업체)</t>
    <phoneticPr fontId="1" type="noConversion"/>
  </si>
  <si>
    <t>WS801909001B</t>
    <phoneticPr fontId="1" type="noConversion"/>
  </si>
  <si>
    <t xml:space="preserve">19년 9월 파견용역비(5개 업체 종합) </t>
    <phoneticPr fontId="1" type="noConversion"/>
  </si>
  <si>
    <t>인사기획그룹</t>
    <phoneticPr fontId="1" type="noConversion"/>
  </si>
  <si>
    <t>호스팅비</t>
  </si>
  <si>
    <t>㈜KT</t>
  </si>
  <si>
    <t>클라우드 서비스 계약</t>
  </si>
  <si>
    <t>본사 전용 회선 사용료</t>
  </si>
  <si>
    <t>CDN 사용료</t>
  </si>
  <si>
    <t>인개원 러닝플랫폼 CDN 비용</t>
  </si>
  <si>
    <t>인개원 러닝플랫폼 클라우드 비용</t>
  </si>
  <si>
    <t>삼성에스디에스㈜</t>
  </si>
  <si>
    <t>멀티캠퍼스 도메인 신규 구매</t>
  </si>
  <si>
    <t>전산비</t>
  </si>
  <si>
    <t>PDSS</t>
  </si>
  <si>
    <t>멀티캠퍼스 유무선 네트워크 장비 유지보수</t>
  </si>
  <si>
    <t>전산용품 및 토너 구매비용</t>
  </si>
  <si>
    <t>프린터 및 전산장비 수리</t>
  </si>
  <si>
    <t>베이안 이용료</t>
  </si>
  <si>
    <t>Knox Portal 사용료(舊.마이싱글) : WEB,APT,Mobile</t>
  </si>
  <si>
    <t>안심 본인확인 서비스 사용 비용</t>
  </si>
  <si>
    <t xml:space="preserve">생명BPO사업그룹 VDI 사용료 </t>
  </si>
  <si>
    <t>한국휴렛팩커드(유)</t>
  </si>
  <si>
    <t>㈜싸이웰시스템</t>
  </si>
  <si>
    <t>솔루피아로</t>
  </si>
  <si>
    <t>㈜굿어스</t>
  </si>
  <si>
    <t>㈜컴투프리테크,㈜지코</t>
  </si>
  <si>
    <t>㈜삼성전자서비스</t>
  </si>
  <si>
    <t>㈜씨디네트웍스</t>
  </si>
  <si>
    <t>나이스신용평가정보㈜</t>
  </si>
  <si>
    <t>㈜테르텐</t>
  </si>
  <si>
    <t>세리시이오 클라우드 서비스</t>
  </si>
  <si>
    <t>세리시이오 CDN 비용</t>
  </si>
  <si>
    <t>멀티캠퍼스 선릉 교육망 전용 회선 사용료</t>
  </si>
  <si>
    <t>멀티캠퍼스 선릉 사내망 전용 회선 사용료</t>
  </si>
  <si>
    <t>㈜인우아이티</t>
  </si>
  <si>
    <t>SCIC 러닝클라우드 AWS 트랜스코딩 서비스 비용</t>
  </si>
  <si>
    <t>데이터베이스 접근제어 솔루션 유지보수 계약</t>
    <phoneticPr fontId="1" type="noConversion"/>
  </si>
  <si>
    <t>데이터베이스 접근제어 솔루션 유지보수 계약 (CIC)</t>
    <phoneticPr fontId="1" type="noConversion"/>
  </si>
  <si>
    <t>HP 서버 유지보수(멀티캠퍼스 선릉)</t>
    <phoneticPr fontId="1" type="noConversion"/>
  </si>
  <si>
    <t>교육콘텐츠사업부</t>
    <phoneticPr fontId="1" type="noConversion"/>
  </si>
  <si>
    <t>전산 유지보수</t>
  </si>
  <si>
    <t>Webinar OMP 서비스 이용</t>
    <phoneticPr fontId="1" type="noConversion"/>
  </si>
  <si>
    <t>메가존클라우드 주식회사</t>
    <phoneticPr fontId="1" type="noConversion"/>
  </si>
  <si>
    <t>SV202104001Z</t>
    <phoneticPr fontId="1" type="noConversion"/>
  </si>
  <si>
    <t>SV202104001Z</t>
    <phoneticPr fontId="1" type="noConversion"/>
  </si>
  <si>
    <t>삼성인력개발원 러닝플랫폼 운영의 건 (3년차)</t>
    <phoneticPr fontId="1" type="noConversion"/>
  </si>
  <si>
    <t>시스템BP인력</t>
    <phoneticPr fontId="1" type="noConversion"/>
  </si>
  <si>
    <t>(주)필라테크</t>
    <phoneticPr fontId="1" type="noConversion"/>
  </si>
  <si>
    <t>세리시이오 CRM 시스템 유지보수</t>
  </si>
  <si>
    <t>삼성에스디에스</t>
  </si>
  <si>
    <t>SV202104001Z</t>
    <phoneticPr fontId="1" type="noConversion"/>
  </si>
  <si>
    <t>인력별 인건비</t>
  </si>
  <si>
    <t>(주)미라콤아이앤씨</t>
    <phoneticPr fontId="1" type="noConversion"/>
  </si>
  <si>
    <t>21년 삼성인력개발원 CIC 플랫폼 ITO 운영의 건 (21.04 ~ 22.03)</t>
    <phoneticPr fontId="1" type="noConversion"/>
  </si>
  <si>
    <t>SS602101001E</t>
    <phoneticPr fontId="1" type="noConversion"/>
  </si>
  <si>
    <t>인력개발원 Glex 클라우드 비용</t>
    <phoneticPr fontId="1" type="noConversion"/>
  </si>
  <si>
    <t>메가존㈜</t>
    <phoneticPr fontId="1" type="noConversion"/>
  </si>
  <si>
    <t>메가존클라우드 주식회사</t>
    <phoneticPr fontId="1" type="noConversion"/>
  </si>
  <si>
    <t>피앤피시큐어</t>
    <phoneticPr fontId="1" type="noConversion"/>
  </si>
  <si>
    <t>후이즈</t>
    <phoneticPr fontId="1" type="noConversion"/>
  </si>
  <si>
    <t>2021년 차세대 ERP ITO 유지보수 계약의 건</t>
  </si>
  <si>
    <t>이테크시스템</t>
    <phoneticPr fontId="1" type="noConversion"/>
  </si>
  <si>
    <t>개인정보점검솔루션(Privacy-i, Server-i) 유지보수</t>
    <phoneticPr fontId="1" type="noConversion"/>
  </si>
  <si>
    <t>(주)이든정보기술</t>
  </si>
  <si>
    <t>PC 보안 솔루션 유지보수(ESCORT, NASCA, SECU Print)</t>
    <phoneticPr fontId="1" type="noConversion"/>
  </si>
  <si>
    <t>계영티앤아이㈜</t>
    <phoneticPr fontId="1" type="noConversion"/>
  </si>
  <si>
    <t>AV202112004Q</t>
    <phoneticPr fontId="1" type="noConversion"/>
  </si>
  <si>
    <t>정보보호관리체계(ISMS) 유지보수</t>
  </si>
  <si>
    <t>화면 캡쳐 보안 솔루션(TCUBE) 유지보수</t>
    <phoneticPr fontId="1" type="noConversion"/>
  </si>
  <si>
    <t>프록시 유지보수</t>
    <phoneticPr fontId="1" type="noConversion"/>
  </si>
  <si>
    <t>재택 근무용 VDI</t>
    <phoneticPr fontId="1" type="noConversion"/>
  </si>
  <si>
    <t>IT실행그룹</t>
  </si>
  <si>
    <t>IT실행그룹</t>
    <phoneticPr fontId="1" type="noConversion"/>
  </si>
  <si>
    <t>㈜한국정보기술안전</t>
    <phoneticPr fontId="1" type="noConversion"/>
  </si>
  <si>
    <t>시스템운영그룹</t>
    <phoneticPr fontId="1" type="noConversion"/>
  </si>
  <si>
    <t>㈜이노이즈인터랙티브</t>
    <phoneticPr fontId="1" type="noConversion"/>
  </si>
  <si>
    <t>㈜에이드컨설팅</t>
    <phoneticPr fontId="1" type="noConversion"/>
  </si>
  <si>
    <t>MAXGAUGE(For MySQL 모니터링 툴) 연간 유지보수</t>
    <phoneticPr fontId="1" type="noConversion"/>
  </si>
  <si>
    <t>SQLgate 유지보수(연간)</t>
    <phoneticPr fontId="1" type="noConversion"/>
  </si>
  <si>
    <t>파워디자이너 솔루션 유지보수</t>
    <phoneticPr fontId="1" type="noConversion"/>
  </si>
  <si>
    <t>DB 암호화(KSIGNSECUREDB) 솔루션 유지보수</t>
    <phoneticPr fontId="1" type="noConversion"/>
  </si>
  <si>
    <t>주식회사 엑셈</t>
    <phoneticPr fontId="1" type="noConversion"/>
  </si>
  <si>
    <t>㈜해커</t>
    <phoneticPr fontId="1" type="noConversion"/>
  </si>
  <si>
    <t>㈜아래즈</t>
    <phoneticPr fontId="1" type="noConversion"/>
  </si>
  <si>
    <t>케이사인</t>
    <phoneticPr fontId="1" type="noConversion"/>
  </si>
  <si>
    <t>소프트웨어 자산관리 솔루션(imon) 유지보수</t>
    <phoneticPr fontId="1" type="noConversion"/>
  </si>
  <si>
    <t>멀티캠퍼스 방화벽 및 IPS 장비 유지보수의 건</t>
    <phoneticPr fontId="1" type="noConversion"/>
  </si>
  <si>
    <t>㈜시큐아이</t>
    <phoneticPr fontId="1" type="noConversion"/>
  </si>
  <si>
    <t>대량메일발송솔루션</t>
    <phoneticPr fontId="1" type="noConversion"/>
  </si>
  <si>
    <t>대용량메일 유지보수</t>
    <phoneticPr fontId="1" type="noConversion"/>
  </si>
  <si>
    <t>통합로그 시스템 유지보수</t>
    <phoneticPr fontId="1" type="noConversion"/>
  </si>
  <si>
    <t>㈜아이더블유네트웍스</t>
    <phoneticPr fontId="1" type="noConversion"/>
  </si>
  <si>
    <t>패스코리아넷</t>
    <phoneticPr fontId="1" type="noConversion"/>
  </si>
  <si>
    <t>㈜이코스모스</t>
    <phoneticPr fontId="1" type="noConversion"/>
  </si>
  <si>
    <t>시스템운영그룹</t>
    <phoneticPr fontId="1" type="noConversion"/>
  </si>
  <si>
    <t>정보전략그룹</t>
    <phoneticPr fontId="1" type="noConversion"/>
  </si>
  <si>
    <t>ANYSIGN 연간 유지보수</t>
  </si>
  <si>
    <t>한컴위드</t>
    <phoneticPr fontId="1" type="noConversion"/>
  </si>
  <si>
    <t>삼성인력개발원 러닝플랫폼 운영의 건 (4년차)</t>
  </si>
  <si>
    <t>㈜락플레이스</t>
    <phoneticPr fontId="1" type="noConversion"/>
  </si>
  <si>
    <t>IT교육서비스그룹</t>
    <phoneticPr fontId="1" type="noConversion"/>
  </si>
  <si>
    <t>VDI 솔루션(VMWare) 유지보수</t>
    <phoneticPr fontId="1" type="noConversion"/>
  </si>
  <si>
    <t>세리시이오 WEB WAS 기술지원</t>
    <phoneticPr fontId="1" type="noConversion"/>
  </si>
  <si>
    <t>인개원 러닝클라우드 SW 유지보수</t>
    <phoneticPr fontId="1" type="noConversion"/>
  </si>
  <si>
    <t>전략사업그룹</t>
    <phoneticPr fontId="1" type="noConversion"/>
  </si>
  <si>
    <t>SS602203001E</t>
    <phoneticPr fontId="1" type="noConversion"/>
  </si>
  <si>
    <t>도메인 SSL 인증</t>
    <phoneticPr fontId="1" type="noConversion"/>
  </si>
  <si>
    <t>㈜닷네임코리아</t>
    <phoneticPr fontId="1" type="noConversion"/>
  </si>
  <si>
    <t>㈜엠토스솔루션스</t>
    <phoneticPr fontId="1" type="noConversion"/>
  </si>
  <si>
    <t>전산비</t>
    <phoneticPr fontId="1" type="noConversion"/>
  </si>
  <si>
    <t>세리시이오 법인맞춤 SSL인증서 추가구매</t>
    <phoneticPr fontId="1" type="noConversion"/>
  </si>
  <si>
    <t>㈜닷네임코리아</t>
    <phoneticPr fontId="1" type="noConversion"/>
  </si>
  <si>
    <t>IT실행그룹</t>
    <phoneticPr fontId="1" type="noConversion"/>
  </si>
  <si>
    <t>전산비</t>
    <phoneticPr fontId="1" type="noConversion"/>
  </si>
  <si>
    <t>WV202212003B</t>
  </si>
  <si>
    <t>WV202212001B</t>
    <phoneticPr fontId="1" type="noConversion"/>
  </si>
  <si>
    <t>'23년 멀티캠퍼스 OA/NW(인프라) ITO 위탁운영</t>
    <phoneticPr fontId="1" type="noConversion"/>
  </si>
  <si>
    <t>23년 멀티캠퍼스 OA/NW(인프라) ITO 업무 수행_상록(본사)</t>
    <phoneticPr fontId="1" type="noConversion"/>
  </si>
  <si>
    <t>'23년 원가(호스팅) 품의</t>
    <phoneticPr fontId="1" type="noConversion"/>
  </si>
  <si>
    <t>AV202212015Q</t>
  </si>
  <si>
    <t>'23년 경비(전산비) 품의</t>
    <phoneticPr fontId="1" type="noConversion"/>
  </si>
  <si>
    <t>WV202212002B</t>
    <phoneticPr fontId="1" type="noConversion"/>
  </si>
  <si>
    <t>'23년 전산비(경비)중 사업원가 배분</t>
    <phoneticPr fontId="1" type="noConversion"/>
  </si>
  <si>
    <t>AV202212015Q</t>
    <phoneticPr fontId="1" type="noConversion"/>
  </si>
  <si>
    <t>'23년 경비(전산비) 품의</t>
    <phoneticPr fontId="1" type="noConversion"/>
  </si>
  <si>
    <t>통합 보안 관제 서비스_(웹해킹, Ddos)</t>
    <phoneticPr fontId="1" type="noConversion"/>
  </si>
  <si>
    <t>23년 Oracle 유지보수 계약</t>
    <phoneticPr fontId="1" type="noConversion"/>
  </si>
  <si>
    <t>데이타독 통합 모니터링 솔루션 사용료 및 유지보수(CIC)</t>
    <phoneticPr fontId="1" type="noConversion"/>
  </si>
  <si>
    <t>GS네오텍</t>
    <phoneticPr fontId="1" type="noConversion"/>
  </si>
  <si>
    <t>SV202008001E</t>
    <phoneticPr fontId="1" type="noConversion"/>
  </si>
  <si>
    <t>20년 삼성인력개발원 플랫폼 인프라 확장 건</t>
    <phoneticPr fontId="1" type="noConversion"/>
  </si>
  <si>
    <t>WSA12212003B</t>
    <phoneticPr fontId="1" type="noConversion"/>
  </si>
  <si>
    <t>2023 CX제안디자인 업무 위탁 수행 건</t>
    <phoneticPr fontId="1" type="noConversion"/>
  </si>
  <si>
    <t>WSA12212002B</t>
    <phoneticPr fontId="1" type="noConversion"/>
  </si>
  <si>
    <t>2023 CX 플랫롬/운영디자인 업무 위탁 수행 건</t>
    <phoneticPr fontId="1" type="noConversion"/>
  </si>
  <si>
    <t>SV202202003Z</t>
    <phoneticPr fontId="1" type="noConversion"/>
  </si>
  <si>
    <t>인력개발원 GLEX 클라우드 서비스 제공</t>
    <phoneticPr fontId="1" type="noConversion"/>
  </si>
  <si>
    <t>SOH02301004T</t>
    <phoneticPr fontId="1" type="noConversion"/>
  </si>
  <si>
    <t>23년 정규 SW검정 사업 실행 품의</t>
  </si>
  <si>
    <t>VDI 서비스(개인정보처리용 외)</t>
    <phoneticPr fontId="1" type="noConversion"/>
  </si>
  <si>
    <t>ORACLE DBMS 라이선스 계약</t>
    <phoneticPr fontId="1" type="noConversion"/>
  </si>
  <si>
    <t>WV202212003B</t>
    <phoneticPr fontId="1" type="noConversion"/>
  </si>
  <si>
    <t>23년 정규 SW검정 사업 실행 품의</t>
    <phoneticPr fontId="1" type="noConversion"/>
  </si>
  <si>
    <t>APACHE, TOMCAT, MYSQL 연간 유지보수</t>
    <phoneticPr fontId="1" type="noConversion"/>
  </si>
  <si>
    <t>WV202212002B</t>
  </si>
  <si>
    <t>''23년 전산비(경비)중 사업원가 배분</t>
  </si>
  <si>
    <t>23년 제니퍼 솔루션 유지보수(독립사이트)</t>
    <phoneticPr fontId="1" type="noConversion"/>
  </si>
  <si>
    <t xml:space="preserve">2023년 LMS JEUS, WEBTOB 유지보수 계약  </t>
  </si>
  <si>
    <t>2023년 SW역량검정용 MAXIGENT APM 유지보수</t>
  </si>
  <si>
    <t>데이터베이스 접근제어 솔루션 유지보수 계약 (LMS)</t>
    <phoneticPr fontId="1" type="noConversion"/>
  </si>
  <si>
    <t>LMS 시스템 제니퍼(Jennifer) 유지보수</t>
    <phoneticPr fontId="1" type="noConversion"/>
  </si>
  <si>
    <t>'23년 원가(호스팅) 품의</t>
    <phoneticPr fontId="1" type="noConversion"/>
  </si>
  <si>
    <t>SOH02301004T</t>
  </si>
  <si>
    <t>''23년 정규 SW검정 사업 실행 품의</t>
  </si>
  <si>
    <t>22년 삼성인력개발원 CIC 플랫폼 ITO 인력 비용 처리</t>
    <phoneticPr fontId="1" type="noConversion"/>
  </si>
  <si>
    <t>23년 멀티캠퍼스 CX 제안디자인</t>
    <phoneticPr fontId="1" type="noConversion"/>
  </si>
  <si>
    <t>23년 멀티캠퍼스 플랫폼/운영디자인</t>
    <phoneticPr fontId="1" type="noConversion"/>
  </si>
  <si>
    <t>'23년 SAP 라이선스 유지보수의 건</t>
    <phoneticPr fontId="1" type="noConversion"/>
  </si>
  <si>
    <t>ERP 사용료</t>
    <phoneticPr fontId="1" type="noConversion"/>
  </si>
  <si>
    <t>'23년 전산비(경비)중 사업원가 배분</t>
  </si>
  <si>
    <t>통합 보안 관제 서비스_악성코드(방화벽)</t>
    <phoneticPr fontId="1" type="noConversion"/>
  </si>
  <si>
    <t>통합 보안 관제 서비스_악성코드(MDS)</t>
    <phoneticPr fontId="1" type="noConversion"/>
  </si>
  <si>
    <t>멀티캠퍼스 선릉 산출물 백업 솔루션(VERITAS, LTO) 유지보수의 건</t>
  </si>
  <si>
    <t>(주)앰엔비베이스</t>
  </si>
  <si>
    <t>SSL 인증서</t>
  </si>
  <si>
    <t>닷네임코리아</t>
  </si>
  <si>
    <t>UPS 노후 구성품 교체(상록)</t>
  </si>
  <si>
    <t>㈜비케이테크</t>
  </si>
  <si>
    <t>'23년 경비(전산비) 품의</t>
  </si>
  <si>
    <t>개인정보유출배상책임보험</t>
  </si>
  <si>
    <t>삼성화재</t>
  </si>
  <si>
    <t>정보보호 공시</t>
  </si>
  <si>
    <t>미정</t>
  </si>
  <si>
    <t>23년 LMS DBMS 업그레이드</t>
  </si>
  <si>
    <t>㈜비아이씨엔에스</t>
  </si>
  <si>
    <t>''23년 원가(호스팅) 품의</t>
  </si>
  <si>
    <t>시스템운영그룹</t>
    <phoneticPr fontId="1" type="noConversion"/>
  </si>
  <si>
    <t>전산비</t>
    <phoneticPr fontId="1" type="noConversion"/>
  </si>
  <si>
    <t>이미지 정액제 라이선스 구입비</t>
    <phoneticPr fontId="1" type="noConversion"/>
  </si>
  <si>
    <t>㈜아이클릭아트</t>
    <phoneticPr fontId="1" type="noConversion"/>
  </si>
  <si>
    <t>'23년 경비(전산비) 품의</t>
    <phoneticPr fontId="1" type="noConversion"/>
  </si>
  <si>
    <t>시스템운영그룹</t>
    <phoneticPr fontId="1" type="noConversion"/>
  </si>
  <si>
    <t>마크애니(증명서/위변조방지) 유지보수</t>
    <phoneticPr fontId="1" type="noConversion"/>
  </si>
  <si>
    <t>㈜마크애니</t>
    <phoneticPr fontId="1" type="noConversion"/>
  </si>
  <si>
    <t>위변조 방지 솔루션</t>
    <phoneticPr fontId="1" type="noConversion"/>
  </si>
  <si>
    <t>플랫폼운영그룹</t>
    <phoneticPr fontId="1" type="noConversion"/>
  </si>
  <si>
    <t>DEXTUPLOADX5,NJ 대용량 파일 UPLOADER 유지보수</t>
    <phoneticPr fontId="1" type="noConversion"/>
  </si>
  <si>
    <t>(주) 덱스트솔루션</t>
    <phoneticPr fontId="1" type="noConversion"/>
  </si>
  <si>
    <t>플랫폼운영그룹</t>
  </si>
  <si>
    <t>크로스에디터  (mis) 패치/유지보수</t>
  </si>
  <si>
    <t>지란지교소프트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</si>
</sst>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\ ;[Black]\-\ #,##0\ ;\ \-\ ;"/>
  </numFmts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0.5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1"/>
      <name val="Arial"/>
      <family val="2"/>
    </font>
    <font>
      <sz val="9"/>
      <color theme="1"/>
      <name val="맑은 고딕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sz val="9"/>
      <name val="Arial"/>
      <family val="2"/>
    </font>
    <font>
      <sz val="9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/>
      <top/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0" tint="-0.499984740745262"/>
      </bottom>
      <diagonal/>
    </border>
    <border>
      <left style="medium">
        <color theme="1"/>
      </left>
      <right style="medium">
        <color theme="1"/>
      </right>
      <top/>
      <bottom style="hair">
        <color theme="0" tint="-0.499984740745262"/>
      </bottom>
      <diagonal/>
    </border>
    <border>
      <left style="medium">
        <color theme="1"/>
      </left>
      <right style="medium">
        <color theme="1"/>
      </right>
      <top style="hair">
        <color theme="0" tint="-0.499984740745262"/>
      </top>
      <bottom style="hair">
        <color theme="0" tint="-0.499984740745262"/>
      </bottom>
      <diagonal/>
    </border>
    <border>
      <left style="medium">
        <color theme="1"/>
      </left>
      <right style="medium">
        <color theme="1"/>
      </right>
      <top style="hair">
        <color theme="0" tint="-0.499984740745262"/>
      </top>
      <bottom/>
      <diagonal/>
    </border>
    <border>
      <left style="medium">
        <color theme="1"/>
      </left>
      <right style="medium">
        <color theme="1"/>
      </right>
      <top style="thin">
        <color theme="0" tint="-0.499984740745262"/>
      </top>
      <bottom style="medium">
        <color theme="1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medium">
        <color theme="1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thin">
        <color theme="0" tint="-0.499984740745262"/>
      </bottom>
      <diagonal/>
    </border>
    <border>
      <left/>
      <right/>
      <top style="hair">
        <color theme="0" tint="-0.499984740745262"/>
      </top>
      <bottom style="thin">
        <color theme="0" tint="-0.499984740745262"/>
      </bottom>
      <diagonal/>
    </border>
    <border>
      <left/>
      <right style="medium">
        <color theme="1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hair">
        <color theme="0" tint="-0.499984740745262"/>
      </right>
      <top/>
      <bottom/>
      <diagonal/>
    </border>
    <border>
      <left style="thin">
        <color theme="0" tint="-0.499984740745262"/>
      </left>
      <right style="hair">
        <color theme="0" tint="-0.499984740745262"/>
      </right>
      <top/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hair">
        <color theme="0" tint="-0.499984740745262"/>
      </left>
      <right style="medium">
        <color theme="1"/>
      </right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/>
      <diagonal/>
    </border>
    <border>
      <left/>
      <right style="medium">
        <color theme="1"/>
      </right>
      <top style="hair">
        <color theme="0" tint="-0.499984740745262"/>
      </top>
      <bottom/>
      <diagonal/>
    </border>
    <border>
      <left style="hair">
        <color theme="0" tint="-0.499984740745262"/>
      </left>
      <right style="medium">
        <color theme="1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thin">
        <color theme="0" tint="-0.499984740745262"/>
      </bottom>
      <diagonal/>
    </border>
    <border>
      <left style="medium">
        <color theme="1"/>
      </left>
      <right style="medium">
        <color theme="1"/>
      </right>
      <top style="hair">
        <color theme="0" tint="-0.499984740745262"/>
      </top>
      <bottom style="medium">
        <color theme="1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hair">
        <color theme="0" tint="-0.499984740745262"/>
      </left>
      <right style="medium">
        <color theme="1"/>
      </right>
      <top style="thin">
        <color theme="0" tint="-0.499984740745262"/>
      </top>
      <bottom style="hair">
        <color theme="0" tint="-0.499984740745262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/>
      <right/>
      <top/>
      <bottom style="thin">
        <color theme="0" tint="-0.499984740745262"/>
      </bottom>
      <diagonal/>
    </border>
    <border>
      <left/>
      <right style="medium">
        <color theme="1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</borders>
  <cellStyleXfs count="2">
    <xf numFmtId="0" fontId="0" fillId="0" borderId="0">
      <alignment vertical="center"/>
    </xf>
    <xf numFmtId="41" fontId="13" fillId="0" borderId="0" applyFont="0" applyFill="0" applyBorder="0" applyAlignment="0" applyProtection="0">
      <alignment vertical="center"/>
    </xf>
  </cellStyleXfs>
  <cellXfs count="14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shrinkToFit="1"/>
    </xf>
    <xf numFmtId="0" fontId="6" fillId="0" borderId="11" xfId="0" applyFont="1" applyBorder="1" applyAlignment="1">
      <alignment horizontal="center" vertical="center" shrinkToFit="1"/>
    </xf>
    <xf numFmtId="0" fontId="6" fillId="0" borderId="3" xfId="0" applyFont="1" applyBorder="1" applyAlignment="1">
      <alignment horizontal="center" vertical="center" shrinkToFit="1"/>
    </xf>
    <xf numFmtId="0" fontId="6" fillId="0" borderId="12" xfId="0" applyFont="1" applyBorder="1" applyAlignment="1">
      <alignment horizontal="center" vertical="center" shrinkToFit="1"/>
    </xf>
    <xf numFmtId="0" fontId="6" fillId="2" borderId="14" xfId="0" applyFont="1" applyFill="1" applyBorder="1" applyAlignment="1">
      <alignment horizontal="center" vertical="center"/>
    </xf>
    <xf numFmtId="176" fontId="7" fillId="0" borderId="15" xfId="0" applyNumberFormat="1" applyFont="1" applyBorder="1" applyAlignment="1">
      <alignment horizontal="right" vertical="center" shrinkToFit="1"/>
    </xf>
    <xf numFmtId="176" fontId="7" fillId="0" borderId="16" xfId="0" applyNumberFormat="1" applyFont="1" applyBorder="1" applyAlignment="1">
      <alignment horizontal="right" vertical="center" shrinkToFit="1"/>
    </xf>
    <xf numFmtId="176" fontId="7" fillId="3" borderId="16" xfId="0" applyNumberFormat="1" applyFont="1" applyFill="1" applyBorder="1" applyAlignment="1">
      <alignment horizontal="right" vertical="center" shrinkToFit="1"/>
    </xf>
    <xf numFmtId="176" fontId="7" fillId="3" borderId="17" xfId="0" applyNumberFormat="1" applyFont="1" applyFill="1" applyBorder="1" applyAlignment="1">
      <alignment horizontal="right" vertical="center" shrinkToFit="1"/>
    </xf>
    <xf numFmtId="176" fontId="7" fillId="4" borderId="18" xfId="0" applyNumberFormat="1" applyFont="1" applyFill="1" applyBorder="1" applyAlignment="1">
      <alignment horizontal="right" vertical="center" shrinkToFit="1"/>
    </xf>
    <xf numFmtId="0" fontId="6" fillId="0" borderId="29" xfId="0" applyFont="1" applyBorder="1" applyAlignment="1">
      <alignment horizontal="center" vertical="center" shrinkToFit="1"/>
    </xf>
    <xf numFmtId="0" fontId="6" fillId="0" borderId="32" xfId="0" applyFont="1" applyBorder="1" applyAlignment="1">
      <alignment horizontal="center" vertical="center" shrinkToFit="1"/>
    </xf>
    <xf numFmtId="176" fontId="7" fillId="4" borderId="16" xfId="0" applyNumberFormat="1" applyFont="1" applyFill="1" applyBorder="1" applyAlignment="1">
      <alignment horizontal="right" vertical="center" shrinkToFit="1"/>
    </xf>
    <xf numFmtId="176" fontId="7" fillId="4" borderId="34" xfId="0" applyNumberFormat="1" applyFont="1" applyFill="1" applyBorder="1" applyAlignment="1">
      <alignment horizontal="right" vertical="center" shrinkToFit="1"/>
    </xf>
    <xf numFmtId="0" fontId="6" fillId="0" borderId="5" xfId="0" applyFont="1" applyBorder="1" applyAlignment="1">
      <alignment horizontal="left" vertical="center" shrinkToFit="1"/>
    </xf>
    <xf numFmtId="0" fontId="6" fillId="0" borderId="3" xfId="0" applyFont="1" applyBorder="1" applyAlignment="1">
      <alignment horizontal="left" vertical="center" shrinkToFit="1"/>
    </xf>
    <xf numFmtId="0" fontId="4" fillId="4" borderId="34" xfId="0" applyFont="1" applyFill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0" fontId="6" fillId="0" borderId="1" xfId="0" applyFont="1" applyBorder="1" applyAlignment="1">
      <alignment horizontal="left" vertical="center" shrinkToFit="1"/>
    </xf>
    <xf numFmtId="0" fontId="6" fillId="0" borderId="39" xfId="0" applyFont="1" applyBorder="1" applyAlignment="1">
      <alignment horizontal="center" vertical="center" shrinkToFit="1"/>
    </xf>
    <xf numFmtId="176" fontId="7" fillId="4" borderId="38" xfId="0" applyNumberFormat="1" applyFont="1" applyFill="1" applyBorder="1" applyAlignment="1">
      <alignment horizontal="right" vertical="center" shrinkToFit="1"/>
    </xf>
    <xf numFmtId="176" fontId="7" fillId="0" borderId="40" xfId="0" applyNumberFormat="1" applyFont="1" applyFill="1" applyBorder="1" applyAlignment="1">
      <alignment horizontal="right" vertical="center" shrinkToFit="1"/>
    </xf>
    <xf numFmtId="0" fontId="6" fillId="0" borderId="3" xfId="0" applyFont="1" applyFill="1" applyBorder="1" applyAlignment="1">
      <alignment horizontal="center" vertical="center" shrinkToFit="1"/>
    </xf>
    <xf numFmtId="0" fontId="6" fillId="0" borderId="29" xfId="0" quotePrefix="1" applyFont="1" applyFill="1" applyBorder="1" applyAlignment="1">
      <alignment horizontal="center" vertical="center" shrinkToFit="1"/>
    </xf>
    <xf numFmtId="0" fontId="0" fillId="0" borderId="0" xfId="0" applyFont="1">
      <alignment vertical="center"/>
    </xf>
    <xf numFmtId="0" fontId="9" fillId="2" borderId="7" xfId="0" applyFont="1" applyFill="1" applyBorder="1" applyAlignment="1">
      <alignment horizontal="center" vertical="center"/>
    </xf>
    <xf numFmtId="0" fontId="6" fillId="0" borderId="5" xfId="0" applyFont="1" applyBorder="1" applyAlignment="1">
      <alignment vertical="center" textRotation="255" shrinkToFit="1"/>
    </xf>
    <xf numFmtId="0" fontId="6" fillId="0" borderId="25" xfId="0" applyFont="1" applyBorder="1" applyAlignment="1">
      <alignment vertical="center" textRotation="255" wrapText="1"/>
    </xf>
    <xf numFmtId="0" fontId="6" fillId="0" borderId="26" xfId="0" applyFont="1" applyBorder="1" applyAlignment="1">
      <alignment vertical="center" textRotation="255" wrapText="1"/>
    </xf>
    <xf numFmtId="0" fontId="6" fillId="0" borderId="25" xfId="0" applyFont="1" applyFill="1" applyBorder="1" applyAlignment="1">
      <alignment vertical="center" textRotation="255" wrapText="1"/>
    </xf>
    <xf numFmtId="0" fontId="11" fillId="0" borderId="3" xfId="0" applyFont="1" applyFill="1" applyBorder="1">
      <alignment vertical="center"/>
    </xf>
    <xf numFmtId="0" fontId="6" fillId="0" borderId="28" xfId="0" applyFont="1" applyFill="1" applyBorder="1" applyAlignment="1">
      <alignment vertical="center" textRotation="255" shrinkToFit="1"/>
    </xf>
    <xf numFmtId="0" fontId="12" fillId="0" borderId="3" xfId="0" applyFont="1" applyFill="1" applyBorder="1" applyAlignment="1">
      <alignment vertical="center" wrapText="1"/>
    </xf>
    <xf numFmtId="0" fontId="12" fillId="0" borderId="12" xfId="0" quotePrefix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6" fillId="2" borderId="7" xfId="0" applyFont="1" applyFill="1" applyBorder="1" applyAlignment="1">
      <alignment horizontal="left" vertical="center"/>
    </xf>
    <xf numFmtId="0" fontId="10" fillId="0" borderId="3" xfId="0" applyFont="1" applyFill="1" applyBorder="1" applyAlignment="1">
      <alignment horizontal="left" vertical="center" wrapText="1" shrinkToFit="1"/>
    </xf>
    <xf numFmtId="0" fontId="4" fillId="0" borderId="0" xfId="0" applyFont="1" applyAlignment="1">
      <alignment horizontal="left" vertical="center" shrinkToFit="1"/>
    </xf>
    <xf numFmtId="0" fontId="3" fillId="0" borderId="0" xfId="0" applyFont="1" applyAlignment="1">
      <alignment horizontal="left" vertical="center" shrinkToFit="1"/>
    </xf>
    <xf numFmtId="0" fontId="0" fillId="0" borderId="0" xfId="0" applyFill="1">
      <alignment vertical="center"/>
    </xf>
    <xf numFmtId="0" fontId="4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10" fillId="0" borderId="3" xfId="0" applyFont="1" applyFill="1" applyBorder="1" applyAlignment="1">
      <alignment horizontal="left" vertical="center" shrinkToFit="1"/>
    </xf>
    <xf numFmtId="0" fontId="10" fillId="0" borderId="3" xfId="0" applyFont="1" applyFill="1" applyBorder="1" applyAlignment="1">
      <alignment horizontal="center" vertical="center" shrinkToFit="1"/>
    </xf>
    <xf numFmtId="0" fontId="10" fillId="0" borderId="5" xfId="0" applyFont="1" applyFill="1" applyBorder="1" applyAlignment="1">
      <alignment horizontal="center" vertical="center" shrinkToFit="1"/>
    </xf>
    <xf numFmtId="0" fontId="10" fillId="0" borderId="32" xfId="0" applyFont="1" applyFill="1" applyBorder="1" applyAlignment="1">
      <alignment horizontal="center" vertical="center" shrinkToFit="1"/>
    </xf>
    <xf numFmtId="0" fontId="10" fillId="0" borderId="5" xfId="0" applyFont="1" applyFill="1" applyBorder="1" applyAlignment="1">
      <alignment horizontal="left" vertical="center" shrinkToFit="1"/>
    </xf>
    <xf numFmtId="0" fontId="10" fillId="0" borderId="29" xfId="0" applyFont="1" applyFill="1" applyBorder="1" applyAlignment="1">
      <alignment horizontal="center" vertical="center" shrinkToFit="1"/>
    </xf>
    <xf numFmtId="0" fontId="10" fillId="0" borderId="29" xfId="0" quotePrefix="1" applyFont="1" applyFill="1" applyBorder="1" applyAlignment="1">
      <alignment horizontal="center" vertical="center" shrinkToFit="1"/>
    </xf>
    <xf numFmtId="176" fontId="11" fillId="0" borderId="15" xfId="0" applyNumberFormat="1" applyFont="1" applyFill="1" applyBorder="1" applyAlignment="1">
      <alignment horizontal="right" vertical="center" shrinkToFit="1"/>
    </xf>
    <xf numFmtId="176" fontId="11" fillId="0" borderId="16" xfId="0" applyNumberFormat="1" applyFont="1" applyFill="1" applyBorder="1" applyAlignment="1">
      <alignment horizontal="right" vertical="center" shrinkToFit="1"/>
    </xf>
    <xf numFmtId="0" fontId="10" fillId="0" borderId="3" xfId="0" quotePrefix="1" applyFont="1" applyFill="1" applyBorder="1" applyAlignment="1">
      <alignment horizontal="center" vertical="center" shrinkToFit="1"/>
    </xf>
    <xf numFmtId="0" fontId="10" fillId="0" borderId="19" xfId="0" applyFont="1" applyFill="1" applyBorder="1" applyAlignment="1">
      <alignment horizontal="left" vertical="center" shrinkToFit="1"/>
    </xf>
    <xf numFmtId="0" fontId="10" fillId="0" borderId="20" xfId="0" quotePrefix="1" applyFont="1" applyFill="1" applyBorder="1" applyAlignment="1">
      <alignment horizontal="center" vertical="center" shrinkToFit="1"/>
    </xf>
    <xf numFmtId="176" fontId="7" fillId="0" borderId="16" xfId="0" applyNumberFormat="1" applyFont="1" applyFill="1" applyBorder="1" applyAlignment="1">
      <alignment horizontal="right" vertical="center" shrinkToFit="1"/>
    </xf>
    <xf numFmtId="0" fontId="10" fillId="0" borderId="3" xfId="0" quotePrefix="1" applyFont="1" applyFill="1" applyBorder="1" applyAlignment="1">
      <alignment horizontal="left" vertical="center" shrinkToFit="1"/>
    </xf>
    <xf numFmtId="0" fontId="10" fillId="0" borderId="5" xfId="0" quotePrefix="1" applyFont="1" applyFill="1" applyBorder="1" applyAlignment="1">
      <alignment horizontal="left" vertical="center" shrinkToFit="1"/>
    </xf>
    <xf numFmtId="0" fontId="10" fillId="0" borderId="32" xfId="0" quotePrefix="1" applyFont="1" applyFill="1" applyBorder="1" applyAlignment="1">
      <alignment horizontal="center" vertical="center" shrinkToFit="1"/>
    </xf>
    <xf numFmtId="0" fontId="10" fillId="0" borderId="12" xfId="0" applyFont="1" applyFill="1" applyBorder="1" applyAlignment="1">
      <alignment horizontal="center" vertical="center" shrinkToFit="1"/>
    </xf>
    <xf numFmtId="0" fontId="10" fillId="0" borderId="19" xfId="0" applyFont="1" applyFill="1" applyBorder="1" applyAlignment="1">
      <alignment horizontal="center" vertical="center" shrinkToFit="1"/>
    </xf>
    <xf numFmtId="176" fontId="11" fillId="0" borderId="17" xfId="0" applyNumberFormat="1" applyFont="1" applyFill="1" applyBorder="1" applyAlignment="1">
      <alignment horizontal="right" vertical="center" shrinkToFit="1"/>
    </xf>
    <xf numFmtId="0" fontId="6" fillId="0" borderId="9" xfId="0" applyFont="1" applyFill="1" applyBorder="1" applyAlignment="1">
      <alignment vertical="center" textRotation="255" shrinkToFit="1"/>
    </xf>
    <xf numFmtId="0" fontId="6" fillId="0" borderId="5" xfId="0" applyFont="1" applyFill="1" applyBorder="1" applyAlignment="1">
      <alignment vertical="center" textRotation="255" shrinkToFit="1"/>
    </xf>
    <xf numFmtId="0" fontId="10" fillId="0" borderId="19" xfId="0" applyFont="1" applyFill="1" applyBorder="1" applyAlignment="1">
      <alignment horizontal="left" vertical="center" wrapText="1" shrinkToFit="1"/>
    </xf>
    <xf numFmtId="0" fontId="12" fillId="0" borderId="3" xfId="0" applyFont="1" applyFill="1" applyBorder="1" applyAlignment="1">
      <alignment horizontal="center" vertical="center" wrapText="1"/>
    </xf>
    <xf numFmtId="41" fontId="7" fillId="0" borderId="16" xfId="1" applyFont="1" applyFill="1" applyBorder="1" applyAlignment="1">
      <alignment horizontal="center" vertical="center" shrinkToFit="1"/>
    </xf>
    <xf numFmtId="0" fontId="6" fillId="4" borderId="6" xfId="0" applyFont="1" applyFill="1" applyBorder="1" applyAlignment="1">
      <alignment horizontal="center" vertical="center" shrinkToFit="1"/>
    </xf>
    <xf numFmtId="0" fontId="6" fillId="4" borderId="7" xfId="0" applyFont="1" applyFill="1" applyBorder="1" applyAlignment="1">
      <alignment horizontal="center" vertical="center" shrinkToFit="1"/>
    </xf>
    <xf numFmtId="0" fontId="6" fillId="4" borderId="10" xfId="0" applyFont="1" applyFill="1" applyBorder="1" applyAlignment="1">
      <alignment horizontal="center" vertical="center" shrinkToFit="1"/>
    </xf>
    <xf numFmtId="0" fontId="6" fillId="3" borderId="12" xfId="0" applyFont="1" applyFill="1" applyBorder="1" applyAlignment="1">
      <alignment horizontal="center" vertical="center" shrinkToFit="1"/>
    </xf>
    <xf numFmtId="0" fontId="6" fillId="3" borderId="19" xfId="0" applyFont="1" applyFill="1" applyBorder="1" applyAlignment="1">
      <alignment horizontal="center" vertical="center" shrinkToFit="1"/>
    </xf>
    <xf numFmtId="0" fontId="6" fillId="3" borderId="20" xfId="0" applyFont="1" applyFill="1" applyBorder="1" applyAlignment="1">
      <alignment horizontal="center" vertical="center" shrinkToFit="1"/>
    </xf>
    <xf numFmtId="0" fontId="6" fillId="3" borderId="21" xfId="0" applyFont="1" applyFill="1" applyBorder="1" applyAlignment="1">
      <alignment horizontal="center" vertical="center" shrinkToFit="1"/>
    </xf>
    <xf numFmtId="0" fontId="6" fillId="3" borderId="22" xfId="0" applyFont="1" applyFill="1" applyBorder="1" applyAlignment="1">
      <alignment horizontal="center" vertical="center" shrinkToFit="1"/>
    </xf>
    <xf numFmtId="0" fontId="6" fillId="3" borderId="23" xfId="0" applyFont="1" applyFill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shrinkToFit="1"/>
    </xf>
    <xf numFmtId="0" fontId="6" fillId="0" borderId="28" xfId="0" applyFont="1" applyBorder="1" applyAlignment="1">
      <alignment horizontal="center" vertical="center" shrinkToFit="1"/>
    </xf>
    <xf numFmtId="0" fontId="6" fillId="0" borderId="5" xfId="0" applyFont="1" applyBorder="1" applyAlignment="1">
      <alignment horizontal="center" vertical="center" shrinkToFit="1"/>
    </xf>
    <xf numFmtId="0" fontId="6" fillId="4" borderId="12" xfId="0" applyFont="1" applyFill="1" applyBorder="1" applyAlignment="1">
      <alignment horizontal="center" vertical="center" shrinkToFit="1"/>
    </xf>
    <xf numFmtId="0" fontId="6" fillId="4" borderId="19" xfId="0" applyFont="1" applyFill="1" applyBorder="1" applyAlignment="1">
      <alignment horizontal="center" vertical="center" shrinkToFit="1"/>
    </xf>
    <xf numFmtId="0" fontId="6" fillId="4" borderId="20" xfId="0" applyFont="1" applyFill="1" applyBorder="1" applyAlignment="1">
      <alignment horizontal="center" vertical="center" shrinkToFit="1"/>
    </xf>
    <xf numFmtId="0" fontId="6" fillId="0" borderId="24" xfId="0" applyFont="1" applyBorder="1" applyAlignment="1">
      <alignment horizontal="center" vertical="center" textRotation="255" wrapText="1"/>
    </xf>
    <xf numFmtId="0" fontId="6" fillId="0" borderId="25" xfId="0" applyFont="1" applyBorder="1" applyAlignment="1">
      <alignment horizontal="center" vertical="center" textRotation="255" wrapText="1"/>
    </xf>
    <xf numFmtId="0" fontId="6" fillId="0" borderId="26" xfId="0" applyFont="1" applyBorder="1" applyAlignment="1">
      <alignment horizontal="center" vertical="center" textRotation="255" wrapText="1"/>
    </xf>
    <xf numFmtId="0" fontId="6" fillId="0" borderId="27" xfId="0" applyFont="1" applyBorder="1" applyAlignment="1">
      <alignment horizontal="center" vertical="center" textRotation="255" shrinkToFit="1"/>
    </xf>
    <xf numFmtId="0" fontId="6" fillId="0" borderId="28" xfId="0" applyFont="1" applyBorder="1" applyAlignment="1">
      <alignment horizontal="center" vertical="center" textRotation="255" shrinkToFit="1"/>
    </xf>
    <xf numFmtId="0" fontId="6" fillId="0" borderId="27" xfId="0" applyFont="1" applyBorder="1" applyAlignment="1">
      <alignment horizontal="center" vertical="center" shrinkToFit="1"/>
    </xf>
    <xf numFmtId="0" fontId="6" fillId="4" borderId="13" xfId="0" applyFont="1" applyFill="1" applyBorder="1" applyAlignment="1">
      <alignment horizontal="center" vertical="center" shrinkToFit="1"/>
    </xf>
    <xf numFmtId="0" fontId="6" fillId="4" borderId="30" xfId="0" applyFont="1" applyFill="1" applyBorder="1" applyAlignment="1">
      <alignment horizontal="center" vertical="center" shrinkToFit="1"/>
    </xf>
    <xf numFmtId="0" fontId="6" fillId="4" borderId="31" xfId="0" applyFont="1" applyFill="1" applyBorder="1" applyAlignment="1">
      <alignment horizontal="center" vertical="center" shrinkToFit="1"/>
    </xf>
    <xf numFmtId="0" fontId="6" fillId="0" borderId="9" xfId="0" applyFont="1" applyBorder="1" applyAlignment="1">
      <alignment horizontal="center" vertical="center" textRotation="255" shrinkToFit="1"/>
    </xf>
    <xf numFmtId="0" fontId="6" fillId="0" borderId="33" xfId="0" applyFont="1" applyBorder="1" applyAlignment="1">
      <alignment horizontal="center" vertical="center" textRotation="255" shrinkToFit="1"/>
    </xf>
    <xf numFmtId="0" fontId="6" fillId="4" borderId="21" xfId="0" applyFont="1" applyFill="1" applyBorder="1" applyAlignment="1">
      <alignment horizontal="center" vertical="center" shrinkToFit="1"/>
    </xf>
    <xf numFmtId="0" fontId="6" fillId="4" borderId="22" xfId="0" applyFont="1" applyFill="1" applyBorder="1" applyAlignment="1">
      <alignment horizontal="center" vertical="center" shrinkToFit="1"/>
    </xf>
    <xf numFmtId="0" fontId="6" fillId="4" borderId="23" xfId="0" applyFont="1" applyFill="1" applyBorder="1" applyAlignment="1">
      <alignment horizontal="center" vertical="center" shrinkToFit="1"/>
    </xf>
    <xf numFmtId="0" fontId="6" fillId="0" borderId="5" xfId="0" applyFont="1" applyBorder="1" applyAlignment="1">
      <alignment horizontal="center" vertical="center" textRotation="255" shrinkToFit="1"/>
    </xf>
    <xf numFmtId="0" fontId="10" fillId="0" borderId="13" xfId="0" applyFont="1" applyFill="1" applyBorder="1" applyAlignment="1">
      <alignment horizontal="center" vertical="center" shrinkToFit="1"/>
    </xf>
    <xf numFmtId="0" fontId="10" fillId="0" borderId="30" xfId="0" applyFont="1" applyFill="1" applyBorder="1" applyAlignment="1">
      <alignment horizontal="center" vertical="center" shrinkToFit="1"/>
    </xf>
    <xf numFmtId="0" fontId="10" fillId="0" borderId="31" xfId="0" applyFont="1" applyFill="1" applyBorder="1" applyAlignment="1">
      <alignment horizontal="center" vertical="center" shrinkToFit="1"/>
    </xf>
    <xf numFmtId="0" fontId="6" fillId="0" borderId="28" xfId="0" applyFont="1" applyFill="1" applyBorder="1" applyAlignment="1">
      <alignment horizontal="center" vertical="center" textRotation="255" shrinkToFit="1"/>
    </xf>
    <xf numFmtId="0" fontId="6" fillId="0" borderId="5" xfId="0" applyFont="1" applyFill="1" applyBorder="1" applyAlignment="1">
      <alignment horizontal="center" vertical="center" textRotation="255" shrinkToFit="1"/>
    </xf>
    <xf numFmtId="0" fontId="10" fillId="0" borderId="12" xfId="0" applyFont="1" applyFill="1" applyBorder="1" applyAlignment="1">
      <alignment horizontal="center" vertical="center" shrinkToFit="1"/>
    </xf>
    <xf numFmtId="0" fontId="10" fillId="0" borderId="19" xfId="0" applyFont="1" applyFill="1" applyBorder="1" applyAlignment="1">
      <alignment horizontal="center" vertical="center" shrinkToFit="1"/>
    </xf>
    <xf numFmtId="0" fontId="10" fillId="0" borderId="20" xfId="0" applyFont="1" applyFill="1" applyBorder="1" applyAlignment="1">
      <alignment horizontal="center" vertical="center" shrinkToFit="1"/>
    </xf>
    <xf numFmtId="0" fontId="6" fillId="3" borderId="13" xfId="0" applyFont="1" applyFill="1" applyBorder="1" applyAlignment="1">
      <alignment horizontal="center" vertical="center" shrinkToFit="1"/>
    </xf>
    <xf numFmtId="0" fontId="6" fillId="3" borderId="30" xfId="0" applyFont="1" applyFill="1" applyBorder="1" applyAlignment="1">
      <alignment horizontal="center" vertical="center" shrinkToFit="1"/>
    </xf>
    <xf numFmtId="0" fontId="6" fillId="0" borderId="35" xfId="0" applyFont="1" applyBorder="1" applyAlignment="1">
      <alignment horizontal="center" vertical="center" textRotation="255" wrapText="1"/>
    </xf>
    <xf numFmtId="0" fontId="6" fillId="0" borderId="36" xfId="0" applyFont="1" applyBorder="1" applyAlignment="1">
      <alignment horizontal="center" vertical="center" textRotation="255" wrapText="1"/>
    </xf>
    <xf numFmtId="0" fontId="6" fillId="0" borderId="37" xfId="0" applyFont="1" applyBorder="1" applyAlignment="1">
      <alignment horizontal="center" vertical="center" textRotation="255" wrapText="1"/>
    </xf>
    <xf numFmtId="0" fontId="4" fillId="4" borderId="21" xfId="0" applyFont="1" applyFill="1" applyBorder="1" applyAlignment="1">
      <alignment horizontal="center" vertical="center" shrinkToFit="1"/>
    </xf>
    <xf numFmtId="0" fontId="4" fillId="4" borderId="22" xfId="0" applyFont="1" applyFill="1" applyBorder="1" applyAlignment="1">
      <alignment horizontal="center" vertical="center" shrinkToFit="1"/>
    </xf>
    <xf numFmtId="0" fontId="6" fillId="4" borderId="37" xfId="0" applyFont="1" applyFill="1" applyBorder="1" applyAlignment="1">
      <alignment horizontal="center" vertical="center" shrinkToFit="1"/>
    </xf>
    <xf numFmtId="0" fontId="6" fillId="4" borderId="41" xfId="0" applyFont="1" applyFill="1" applyBorder="1" applyAlignment="1">
      <alignment horizontal="center" vertical="center" shrinkToFit="1"/>
    </xf>
    <xf numFmtId="0" fontId="6" fillId="4" borderId="42" xfId="0" applyFont="1" applyFill="1" applyBorder="1" applyAlignment="1">
      <alignment horizontal="center" vertical="center" shrinkToFit="1"/>
    </xf>
    <xf numFmtId="0" fontId="6" fillId="0" borderId="43" xfId="0" applyFont="1" applyFill="1" applyBorder="1" applyAlignment="1">
      <alignment horizontal="center" vertical="center" shrinkToFit="1"/>
    </xf>
    <xf numFmtId="0" fontId="6" fillId="0" borderId="44" xfId="0" applyFont="1" applyFill="1" applyBorder="1" applyAlignment="1">
      <alignment horizontal="center" vertical="center" shrinkToFit="1"/>
    </xf>
    <xf numFmtId="0" fontId="6" fillId="3" borderId="31" xfId="0" applyFont="1" applyFill="1" applyBorder="1" applyAlignment="1">
      <alignment horizontal="center" vertical="center" shrinkToFit="1"/>
    </xf>
    <xf numFmtId="0" fontId="6" fillId="0" borderId="24" xfId="0" applyFont="1" applyBorder="1" applyAlignment="1">
      <alignment vertical="center" textRotation="255" wrapText="1"/>
    </xf>
    <xf numFmtId="0" fontId="6" fillId="0" borderId="25" xfId="0" applyFont="1" applyBorder="1" applyAlignment="1">
      <alignment vertical="center" textRotation="255" wrapText="1"/>
    </xf>
    <xf numFmtId="0" fontId="10" fillId="5" borderId="3" xfId="0" applyFont="1" applyFill="1" applyBorder="1" applyAlignment="1">
      <alignment horizontal="center" vertical="center" shrinkToFit="1"/>
    </xf>
    <xf numFmtId="0" fontId="10" fillId="5" borderId="5" xfId="0" applyFont="1" applyFill="1" applyBorder="1" applyAlignment="1">
      <alignment horizontal="center" vertical="center" shrinkToFit="1"/>
    </xf>
    <xf numFmtId="0" fontId="10" fillId="5" borderId="5" xfId="0" applyFont="1" applyFill="1" applyBorder="1" applyAlignment="1">
      <alignment horizontal="left" vertical="center" shrinkToFit="1"/>
    </xf>
    <xf numFmtId="0" fontId="10" fillId="5" borderId="3" xfId="0" applyFont="1" applyFill="1" applyBorder="1" applyAlignment="1">
      <alignment horizontal="left" vertical="center" shrinkToFit="1"/>
    </xf>
    <xf numFmtId="0" fontId="11" fillId="5" borderId="3" xfId="0" applyFont="1" applyFill="1" applyBorder="1">
      <alignment vertical="center"/>
    </xf>
    <xf numFmtId="0" fontId="10" fillId="5" borderId="32" xfId="0" quotePrefix="1" applyFont="1" applyFill="1" applyBorder="1" applyAlignment="1">
      <alignment horizontal="center" vertical="center" shrinkToFit="1"/>
    </xf>
    <xf numFmtId="176" fontId="11" fillId="5" borderId="15" xfId="0" applyNumberFormat="1" applyFont="1" applyFill="1" applyBorder="1" applyAlignment="1">
      <alignment horizontal="right" vertical="center" shrinkToFit="1"/>
    </xf>
    <xf numFmtId="176" fontId="11" fillId="5" borderId="16" xfId="0" applyNumberFormat="1" applyFont="1" applyFill="1" applyBorder="1" applyAlignment="1">
      <alignment horizontal="right" vertical="center" shrinkToFit="1"/>
    </xf>
    <xf numFmtId="0" fontId="12" fillId="5" borderId="3" xfId="0" applyFont="1" applyFill="1" applyBorder="1" applyAlignment="1">
      <alignment vertical="center" wrapText="1"/>
    </xf>
    <xf numFmtId="0" fontId="12" fillId="5" borderId="12" xfId="0" quotePrefix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95249</xdr:colOff>
      <xdr:row>14</xdr:row>
      <xdr:rowOff>66675</xdr:rowOff>
    </xdr:from>
    <xdr:to>
      <xdr:col>11</xdr:col>
      <xdr:colOff>381000</xdr:colOff>
      <xdr:row>19</xdr:row>
      <xdr:rowOff>66675</xdr:rowOff>
    </xdr:to>
    <xdr:sp macro="" textlink="">
      <xdr:nvSpPr>
        <xdr:cNvPr id="2" name="TextBox 1"/>
        <xdr:cNvSpPr txBox="1"/>
      </xdr:nvSpPr>
      <xdr:spPr>
        <a:xfrm>
          <a:off x="5686424" y="2857500"/>
          <a:ext cx="4438651" cy="9525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altLang="ko-KR" sz="1100" b="1" i="0">
              <a:solidFill>
                <a:schemeClr val="tx1"/>
              </a:solidFill>
              <a:latin typeface="+mn-ea"/>
              <a:ea typeface="+mn-ea"/>
            </a:rPr>
            <a:t>※</a:t>
          </a:r>
          <a:r>
            <a:rPr lang="ko-KR" altLang="en-US" sz="1100" b="1" i="0">
              <a:solidFill>
                <a:schemeClr val="tx1"/>
              </a:solidFill>
              <a:latin typeface="+mn-ea"/>
              <a:ea typeface="+mn-ea"/>
            </a:rPr>
            <a:t>부탁드려요</a:t>
          </a:r>
          <a:r>
            <a:rPr lang="en-US" altLang="ko-KR" sz="1100" b="1" i="0">
              <a:solidFill>
                <a:schemeClr val="tx1"/>
              </a:solidFill>
              <a:latin typeface="+mn-ea"/>
              <a:ea typeface="+mn-ea"/>
            </a:rPr>
            <a:t>※</a:t>
          </a:r>
          <a:r>
            <a:rPr lang="en-US" altLang="ko-KR" sz="1100" b="1" i="0">
              <a:solidFill>
                <a:srgbClr val="0000FF"/>
              </a:solidFill>
              <a:latin typeface="+mn-ea"/>
              <a:ea typeface="+mn-ea"/>
            </a:rPr>
            <a:t> </a:t>
          </a:r>
        </a:p>
        <a:p>
          <a:pPr algn="l"/>
          <a:r>
            <a:rPr lang="ko-KR" altLang="en-US" sz="1100" b="1" i="0">
              <a:solidFill>
                <a:srgbClr val="0000FF"/>
              </a:solidFill>
              <a:latin typeface="+mn-ea"/>
              <a:ea typeface="+mn-ea"/>
            </a:rPr>
            <a:t>파일명 </a:t>
          </a:r>
          <a:r>
            <a:rPr lang="en-US" altLang="ko-KR" sz="1100" b="1" i="0">
              <a:solidFill>
                <a:srgbClr val="0000FF"/>
              </a:solidFill>
              <a:latin typeface="+mn-ea"/>
              <a:ea typeface="+mn-ea"/>
            </a:rPr>
            <a:t>:</a:t>
          </a:r>
          <a:r>
            <a:rPr lang="ko-KR" altLang="en-US" sz="1100" b="1" i="0">
              <a:solidFill>
                <a:srgbClr val="0000FF"/>
              </a:solidFill>
              <a:latin typeface="+mn-ea"/>
              <a:ea typeface="+mn-ea"/>
            </a:rPr>
            <a:t> </a:t>
          </a:r>
          <a:r>
            <a:rPr lang="en-US" altLang="ko-KR" sz="1100" b="1" i="0">
              <a:solidFill>
                <a:srgbClr val="0000FF"/>
              </a:solidFill>
              <a:latin typeface="+mn-ea"/>
              <a:ea typeface="+mn-ea"/>
            </a:rPr>
            <a:t>'</a:t>
          </a:r>
          <a:r>
            <a:rPr lang="ko-KR" altLang="en-US" sz="1100" b="1" i="0">
              <a:solidFill>
                <a:srgbClr val="0000FF"/>
              </a:solidFill>
              <a:latin typeface="+mn-ea"/>
              <a:ea typeface="+mn-ea"/>
            </a:rPr>
            <a:t>정책성</a:t>
          </a:r>
          <a:r>
            <a:rPr lang="en-US" altLang="ko-KR" sz="1100" b="1" i="0">
              <a:solidFill>
                <a:srgbClr val="0000FF"/>
              </a:solidFill>
              <a:latin typeface="+mn-ea"/>
              <a:ea typeface="+mn-ea"/>
            </a:rPr>
            <a:t>_</a:t>
          </a:r>
          <a:r>
            <a:rPr lang="ko-KR" altLang="en-US" sz="1100" b="1" i="0">
              <a:solidFill>
                <a:srgbClr val="0000FF"/>
              </a:solidFill>
              <a:latin typeface="+mn-ea"/>
              <a:ea typeface="+mn-ea"/>
            </a:rPr>
            <a:t>그룹명</a:t>
          </a:r>
          <a:r>
            <a:rPr lang="en-US" altLang="ko-KR" sz="1100" b="1" i="0">
              <a:solidFill>
                <a:srgbClr val="0000FF"/>
              </a:solidFill>
              <a:latin typeface="+mn-ea"/>
              <a:ea typeface="+mn-ea"/>
            </a:rPr>
            <a:t>_</a:t>
          </a:r>
          <a:r>
            <a:rPr lang="ko-KR" altLang="en-US" sz="1100" b="1" i="0">
              <a:solidFill>
                <a:srgbClr val="0000FF"/>
              </a:solidFill>
              <a:latin typeface="+mn-ea"/>
              <a:ea typeface="+mn-ea"/>
            </a:rPr>
            <a:t>작성자</a:t>
          </a:r>
          <a:r>
            <a:rPr lang="en-US" altLang="ko-KR" sz="1100" b="1" i="0">
              <a:solidFill>
                <a:srgbClr val="0000FF"/>
              </a:solidFill>
              <a:latin typeface="+mn-ea"/>
              <a:ea typeface="+mn-ea"/>
            </a:rPr>
            <a:t>' </a:t>
          </a:r>
        </a:p>
        <a:p>
          <a:pPr algn="l"/>
          <a:r>
            <a:rPr lang="en-US" altLang="ko-KR" sz="1100" b="1" i="0">
              <a:solidFill>
                <a:srgbClr val="0000FF"/>
              </a:solidFill>
              <a:latin typeface="+mn-ea"/>
              <a:ea typeface="+mn-ea"/>
            </a:rPr>
            <a:t>Ex)</a:t>
          </a:r>
          <a:r>
            <a:rPr lang="ko-KR" altLang="en-US" sz="1100" b="1" i="0">
              <a:solidFill>
                <a:srgbClr val="0000FF"/>
              </a:solidFill>
              <a:latin typeface="+mn-ea"/>
              <a:ea typeface="+mn-ea"/>
            </a:rPr>
            <a:t>정책성</a:t>
          </a:r>
          <a:r>
            <a:rPr lang="en-US" altLang="ko-KR" sz="1100" b="1" i="0">
              <a:solidFill>
                <a:srgbClr val="0000FF"/>
              </a:solidFill>
              <a:latin typeface="+mn-ea"/>
              <a:ea typeface="+mn-ea"/>
            </a:rPr>
            <a:t>_</a:t>
          </a:r>
          <a:r>
            <a:rPr kumimoji="0" lang="ko-KR" altLang="en-US" sz="1100" b="1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맑은 고딕" panose="020B0503020000020004" pitchFamily="50" charset="-127"/>
              <a:ea typeface="+mn-ea"/>
              <a:cs typeface="+mn-cs"/>
            </a:rPr>
            <a:t>경영지원그룹</a:t>
          </a:r>
          <a:r>
            <a:rPr kumimoji="0" lang="en-US" altLang="ko-KR" sz="1100" b="1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맑은 고딕" panose="020B0503020000020004" pitchFamily="50" charset="-127"/>
              <a:ea typeface="+mn-ea"/>
              <a:cs typeface="+mn-cs"/>
            </a:rPr>
            <a:t>_</a:t>
          </a:r>
          <a:r>
            <a:rPr kumimoji="0" lang="ko-KR" altLang="en-US" sz="1100" b="1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맑은 고딕" panose="020B0503020000020004" pitchFamily="50" charset="-127"/>
              <a:ea typeface="+mn-ea"/>
              <a:cs typeface="+mn-cs"/>
            </a:rPr>
            <a:t>이현석 으로 변경 저장 회신 부탁드립니다</a:t>
          </a:r>
          <a:r>
            <a:rPr kumimoji="0" lang="en-US" altLang="ko-KR" sz="1100" b="1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맑은 고딕" panose="020B0503020000020004" pitchFamily="50" charset="-127"/>
              <a:ea typeface="+mn-ea"/>
              <a:cs typeface="+mn-cs"/>
            </a:rPr>
            <a:t>.</a:t>
          </a:r>
          <a:endParaRPr lang="en-US" altLang="ko-KR" sz="1100" b="1" i="0">
            <a:solidFill>
              <a:srgbClr val="0000FF"/>
            </a:solidFill>
            <a:latin typeface="+mn-ea"/>
            <a:ea typeface="+mn-ea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</xdr:colOff>
      <xdr:row>13</xdr:row>
      <xdr:rowOff>85725</xdr:rowOff>
    </xdr:from>
    <xdr:to>
      <xdr:col>14</xdr:col>
      <xdr:colOff>295276</xdr:colOff>
      <xdr:row>18</xdr:row>
      <xdr:rowOff>85725</xdr:rowOff>
    </xdr:to>
    <xdr:sp macro="" textlink="">
      <xdr:nvSpPr>
        <xdr:cNvPr id="5" name="TextBox 4"/>
        <xdr:cNvSpPr txBox="1"/>
      </xdr:nvSpPr>
      <xdr:spPr>
        <a:xfrm>
          <a:off x="6267450" y="2686050"/>
          <a:ext cx="4438651" cy="9525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altLang="ko-KR" sz="1100" b="1" i="0">
              <a:solidFill>
                <a:schemeClr val="tx1"/>
              </a:solidFill>
              <a:latin typeface="+mn-ea"/>
              <a:ea typeface="+mn-ea"/>
            </a:rPr>
            <a:t>※</a:t>
          </a:r>
          <a:r>
            <a:rPr lang="ko-KR" altLang="en-US" sz="1100" b="1" i="0">
              <a:solidFill>
                <a:schemeClr val="tx1"/>
              </a:solidFill>
              <a:latin typeface="+mn-ea"/>
              <a:ea typeface="+mn-ea"/>
            </a:rPr>
            <a:t>부탁드려요</a:t>
          </a:r>
          <a:r>
            <a:rPr lang="en-US" altLang="ko-KR" sz="1100" b="1" i="0">
              <a:solidFill>
                <a:schemeClr val="tx1"/>
              </a:solidFill>
              <a:latin typeface="+mn-ea"/>
              <a:ea typeface="+mn-ea"/>
            </a:rPr>
            <a:t>※</a:t>
          </a:r>
          <a:r>
            <a:rPr lang="en-US" altLang="ko-KR" sz="1100" b="1" i="0">
              <a:solidFill>
                <a:srgbClr val="0000FF"/>
              </a:solidFill>
              <a:latin typeface="+mn-ea"/>
              <a:ea typeface="+mn-ea"/>
            </a:rPr>
            <a:t> </a:t>
          </a:r>
        </a:p>
        <a:p>
          <a:pPr algn="l"/>
          <a:r>
            <a:rPr lang="ko-KR" altLang="en-US" sz="1100" b="1" i="0">
              <a:solidFill>
                <a:srgbClr val="0000FF"/>
              </a:solidFill>
              <a:latin typeface="+mn-ea"/>
              <a:ea typeface="+mn-ea"/>
            </a:rPr>
            <a:t>파일명 </a:t>
          </a:r>
          <a:r>
            <a:rPr lang="en-US" altLang="ko-KR" sz="1100" b="1" i="0">
              <a:solidFill>
                <a:srgbClr val="0000FF"/>
              </a:solidFill>
              <a:latin typeface="+mn-ea"/>
              <a:ea typeface="+mn-ea"/>
            </a:rPr>
            <a:t>:</a:t>
          </a:r>
          <a:r>
            <a:rPr lang="ko-KR" altLang="en-US" sz="1100" b="1" i="0">
              <a:solidFill>
                <a:srgbClr val="0000FF"/>
              </a:solidFill>
              <a:latin typeface="+mn-ea"/>
              <a:ea typeface="+mn-ea"/>
            </a:rPr>
            <a:t> </a:t>
          </a:r>
          <a:r>
            <a:rPr lang="en-US" altLang="ko-KR" sz="1100" b="1" i="0">
              <a:solidFill>
                <a:srgbClr val="0000FF"/>
              </a:solidFill>
              <a:latin typeface="+mn-ea"/>
              <a:ea typeface="+mn-ea"/>
            </a:rPr>
            <a:t>'</a:t>
          </a:r>
          <a:r>
            <a:rPr lang="ko-KR" altLang="en-US" sz="1100" b="1" i="0">
              <a:solidFill>
                <a:srgbClr val="0000FF"/>
              </a:solidFill>
              <a:latin typeface="+mn-ea"/>
              <a:ea typeface="+mn-ea"/>
            </a:rPr>
            <a:t>정책성</a:t>
          </a:r>
          <a:r>
            <a:rPr lang="en-US" altLang="ko-KR" sz="1100" b="1" i="0">
              <a:solidFill>
                <a:srgbClr val="0000FF"/>
              </a:solidFill>
              <a:latin typeface="+mn-ea"/>
              <a:ea typeface="+mn-ea"/>
            </a:rPr>
            <a:t>_</a:t>
          </a:r>
          <a:r>
            <a:rPr lang="ko-KR" altLang="en-US" sz="1100" b="1" i="0">
              <a:solidFill>
                <a:srgbClr val="0000FF"/>
              </a:solidFill>
              <a:latin typeface="+mn-ea"/>
              <a:ea typeface="+mn-ea"/>
            </a:rPr>
            <a:t>그룹명</a:t>
          </a:r>
          <a:r>
            <a:rPr lang="en-US" altLang="ko-KR" sz="1100" b="1" i="0">
              <a:solidFill>
                <a:srgbClr val="0000FF"/>
              </a:solidFill>
              <a:latin typeface="+mn-ea"/>
              <a:ea typeface="+mn-ea"/>
            </a:rPr>
            <a:t>_</a:t>
          </a:r>
          <a:r>
            <a:rPr lang="ko-KR" altLang="en-US" sz="1100" b="1" i="0">
              <a:solidFill>
                <a:srgbClr val="0000FF"/>
              </a:solidFill>
              <a:latin typeface="+mn-ea"/>
              <a:ea typeface="+mn-ea"/>
            </a:rPr>
            <a:t>작성자</a:t>
          </a:r>
          <a:r>
            <a:rPr lang="en-US" altLang="ko-KR" sz="1100" b="1" i="0">
              <a:solidFill>
                <a:srgbClr val="0000FF"/>
              </a:solidFill>
              <a:latin typeface="+mn-ea"/>
              <a:ea typeface="+mn-ea"/>
            </a:rPr>
            <a:t>' </a:t>
          </a:r>
        </a:p>
        <a:p>
          <a:pPr algn="l"/>
          <a:r>
            <a:rPr lang="en-US" altLang="ko-KR" sz="1100" b="1" i="0">
              <a:solidFill>
                <a:srgbClr val="0000FF"/>
              </a:solidFill>
              <a:latin typeface="+mn-ea"/>
              <a:ea typeface="+mn-ea"/>
            </a:rPr>
            <a:t>Ex)</a:t>
          </a:r>
          <a:r>
            <a:rPr lang="ko-KR" altLang="en-US" sz="1100" b="1" i="0">
              <a:solidFill>
                <a:srgbClr val="0000FF"/>
              </a:solidFill>
              <a:latin typeface="+mn-ea"/>
              <a:ea typeface="+mn-ea"/>
            </a:rPr>
            <a:t>정책성</a:t>
          </a:r>
          <a:r>
            <a:rPr lang="en-US" altLang="ko-KR" sz="1100" b="1" i="0">
              <a:solidFill>
                <a:srgbClr val="0000FF"/>
              </a:solidFill>
              <a:latin typeface="+mn-ea"/>
              <a:ea typeface="+mn-ea"/>
            </a:rPr>
            <a:t>_</a:t>
          </a:r>
          <a:r>
            <a:rPr kumimoji="0" lang="ko-KR" altLang="en-US" sz="1100" b="1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맑은 고딕" panose="020B0503020000020004" pitchFamily="50" charset="-127"/>
              <a:ea typeface="+mn-ea"/>
              <a:cs typeface="+mn-cs"/>
            </a:rPr>
            <a:t>경영지원그룹</a:t>
          </a:r>
          <a:r>
            <a:rPr kumimoji="0" lang="en-US" altLang="ko-KR" sz="1100" b="1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맑은 고딕" panose="020B0503020000020004" pitchFamily="50" charset="-127"/>
              <a:ea typeface="+mn-ea"/>
              <a:cs typeface="+mn-cs"/>
            </a:rPr>
            <a:t>_</a:t>
          </a:r>
          <a:r>
            <a:rPr kumimoji="0" lang="ko-KR" altLang="en-US" sz="1100" b="1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맑은 고딕" panose="020B0503020000020004" pitchFamily="50" charset="-127"/>
              <a:ea typeface="+mn-ea"/>
              <a:cs typeface="+mn-cs"/>
            </a:rPr>
            <a:t>이현석 으로 변경 저장 회신 부탁드립니다</a:t>
          </a:r>
          <a:r>
            <a:rPr kumimoji="0" lang="en-US" altLang="ko-KR" sz="1100" b="1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맑은 고딕" panose="020B0503020000020004" pitchFamily="50" charset="-127"/>
              <a:ea typeface="+mn-ea"/>
              <a:cs typeface="+mn-cs"/>
            </a:rPr>
            <a:t>.</a:t>
          </a:r>
          <a:endParaRPr lang="en-US" altLang="ko-KR" sz="1100" b="1" i="0">
            <a:solidFill>
              <a:srgbClr val="0000FF"/>
            </a:solidFill>
            <a:latin typeface="+mn-ea"/>
            <a:ea typeface="+mn-ea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9</xdr:row>
      <xdr:rowOff>180975</xdr:rowOff>
    </xdr:from>
    <xdr:to>
      <xdr:col>12</xdr:col>
      <xdr:colOff>590551</xdr:colOff>
      <xdr:row>13</xdr:row>
      <xdr:rowOff>180975</xdr:rowOff>
    </xdr:to>
    <xdr:sp macro="" textlink="">
      <xdr:nvSpPr>
        <xdr:cNvPr id="4" name="TextBox 3"/>
        <xdr:cNvSpPr txBox="1"/>
      </xdr:nvSpPr>
      <xdr:spPr>
        <a:xfrm>
          <a:off x="5867400" y="2305050"/>
          <a:ext cx="4438651" cy="9525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altLang="ko-KR" sz="1100" b="1" i="0">
              <a:solidFill>
                <a:schemeClr val="tx1"/>
              </a:solidFill>
              <a:latin typeface="+mn-ea"/>
              <a:ea typeface="+mn-ea"/>
            </a:rPr>
            <a:t>※</a:t>
          </a:r>
          <a:r>
            <a:rPr lang="ko-KR" altLang="en-US" sz="1100" b="1" i="0">
              <a:solidFill>
                <a:schemeClr val="tx1"/>
              </a:solidFill>
              <a:latin typeface="+mn-ea"/>
              <a:ea typeface="+mn-ea"/>
            </a:rPr>
            <a:t>부탁드려요</a:t>
          </a:r>
          <a:r>
            <a:rPr lang="en-US" altLang="ko-KR" sz="1100" b="1" i="0">
              <a:solidFill>
                <a:schemeClr val="tx1"/>
              </a:solidFill>
              <a:latin typeface="+mn-ea"/>
              <a:ea typeface="+mn-ea"/>
            </a:rPr>
            <a:t>※</a:t>
          </a:r>
          <a:r>
            <a:rPr lang="en-US" altLang="ko-KR" sz="1100" b="1" i="0">
              <a:solidFill>
                <a:srgbClr val="0000FF"/>
              </a:solidFill>
              <a:latin typeface="+mn-ea"/>
              <a:ea typeface="+mn-ea"/>
            </a:rPr>
            <a:t> </a:t>
          </a:r>
        </a:p>
        <a:p>
          <a:pPr algn="l"/>
          <a:r>
            <a:rPr lang="ko-KR" altLang="en-US" sz="1100" b="1" i="0">
              <a:solidFill>
                <a:srgbClr val="0000FF"/>
              </a:solidFill>
              <a:latin typeface="+mn-ea"/>
              <a:ea typeface="+mn-ea"/>
            </a:rPr>
            <a:t>파일명 </a:t>
          </a:r>
          <a:r>
            <a:rPr lang="en-US" altLang="ko-KR" sz="1100" b="1" i="0">
              <a:solidFill>
                <a:srgbClr val="0000FF"/>
              </a:solidFill>
              <a:latin typeface="+mn-ea"/>
              <a:ea typeface="+mn-ea"/>
            </a:rPr>
            <a:t>:</a:t>
          </a:r>
          <a:r>
            <a:rPr lang="ko-KR" altLang="en-US" sz="1100" b="1" i="0">
              <a:solidFill>
                <a:srgbClr val="0000FF"/>
              </a:solidFill>
              <a:latin typeface="+mn-ea"/>
              <a:ea typeface="+mn-ea"/>
            </a:rPr>
            <a:t> </a:t>
          </a:r>
          <a:r>
            <a:rPr lang="en-US" altLang="ko-KR" sz="1100" b="1" i="0">
              <a:solidFill>
                <a:srgbClr val="0000FF"/>
              </a:solidFill>
              <a:latin typeface="+mn-ea"/>
              <a:ea typeface="+mn-ea"/>
            </a:rPr>
            <a:t>'</a:t>
          </a:r>
          <a:r>
            <a:rPr lang="ko-KR" altLang="en-US" sz="1100" b="1" i="0">
              <a:solidFill>
                <a:srgbClr val="0000FF"/>
              </a:solidFill>
              <a:latin typeface="+mn-ea"/>
              <a:ea typeface="+mn-ea"/>
            </a:rPr>
            <a:t>정책성</a:t>
          </a:r>
          <a:r>
            <a:rPr lang="en-US" altLang="ko-KR" sz="1100" b="1" i="0">
              <a:solidFill>
                <a:srgbClr val="0000FF"/>
              </a:solidFill>
              <a:latin typeface="+mn-ea"/>
              <a:ea typeface="+mn-ea"/>
            </a:rPr>
            <a:t>_</a:t>
          </a:r>
          <a:r>
            <a:rPr lang="ko-KR" altLang="en-US" sz="1100" b="1" i="0">
              <a:solidFill>
                <a:srgbClr val="0000FF"/>
              </a:solidFill>
              <a:latin typeface="+mn-ea"/>
              <a:ea typeface="+mn-ea"/>
            </a:rPr>
            <a:t>그룹명</a:t>
          </a:r>
          <a:r>
            <a:rPr lang="en-US" altLang="ko-KR" sz="1100" b="1" i="0">
              <a:solidFill>
                <a:srgbClr val="0000FF"/>
              </a:solidFill>
              <a:latin typeface="+mn-ea"/>
              <a:ea typeface="+mn-ea"/>
            </a:rPr>
            <a:t>_</a:t>
          </a:r>
          <a:r>
            <a:rPr lang="ko-KR" altLang="en-US" sz="1100" b="1" i="0">
              <a:solidFill>
                <a:srgbClr val="0000FF"/>
              </a:solidFill>
              <a:latin typeface="+mn-ea"/>
              <a:ea typeface="+mn-ea"/>
            </a:rPr>
            <a:t>작성자</a:t>
          </a:r>
          <a:r>
            <a:rPr lang="en-US" altLang="ko-KR" sz="1100" b="1" i="0">
              <a:solidFill>
                <a:srgbClr val="0000FF"/>
              </a:solidFill>
              <a:latin typeface="+mn-ea"/>
              <a:ea typeface="+mn-ea"/>
            </a:rPr>
            <a:t>' </a:t>
          </a:r>
        </a:p>
        <a:p>
          <a:pPr algn="l"/>
          <a:r>
            <a:rPr lang="en-US" altLang="ko-KR" sz="1100" b="1" i="0">
              <a:solidFill>
                <a:srgbClr val="0000FF"/>
              </a:solidFill>
              <a:latin typeface="+mn-ea"/>
              <a:ea typeface="+mn-ea"/>
            </a:rPr>
            <a:t>Ex)</a:t>
          </a:r>
          <a:r>
            <a:rPr lang="ko-KR" altLang="en-US" sz="1100" b="1" i="0">
              <a:solidFill>
                <a:srgbClr val="0000FF"/>
              </a:solidFill>
              <a:latin typeface="+mn-ea"/>
              <a:ea typeface="+mn-ea"/>
            </a:rPr>
            <a:t>정책성</a:t>
          </a:r>
          <a:r>
            <a:rPr lang="en-US" altLang="ko-KR" sz="1100" b="1" i="0">
              <a:solidFill>
                <a:srgbClr val="0000FF"/>
              </a:solidFill>
              <a:latin typeface="+mn-ea"/>
              <a:ea typeface="+mn-ea"/>
            </a:rPr>
            <a:t>_</a:t>
          </a:r>
          <a:r>
            <a:rPr kumimoji="0" lang="ko-KR" altLang="en-US" sz="1100" b="1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맑은 고딕" panose="020B0503020000020004" pitchFamily="50" charset="-127"/>
              <a:ea typeface="+mn-ea"/>
              <a:cs typeface="+mn-cs"/>
            </a:rPr>
            <a:t>경영지원그룹</a:t>
          </a:r>
          <a:r>
            <a:rPr kumimoji="0" lang="en-US" altLang="ko-KR" sz="1100" b="1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맑은 고딕" panose="020B0503020000020004" pitchFamily="50" charset="-127"/>
              <a:ea typeface="+mn-ea"/>
              <a:cs typeface="+mn-cs"/>
            </a:rPr>
            <a:t>_</a:t>
          </a:r>
          <a:r>
            <a:rPr kumimoji="0" lang="ko-KR" altLang="en-US" sz="1100" b="1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맑은 고딕" panose="020B0503020000020004" pitchFamily="50" charset="-127"/>
              <a:ea typeface="+mn-ea"/>
              <a:cs typeface="+mn-cs"/>
            </a:rPr>
            <a:t>이현석 으로 변경 저장 회신 부탁드립니다</a:t>
          </a:r>
          <a:r>
            <a:rPr kumimoji="0" lang="en-US" altLang="ko-KR" sz="1100" b="1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맑은 고딕" panose="020B0503020000020004" pitchFamily="50" charset="-127"/>
              <a:ea typeface="+mn-ea"/>
              <a:cs typeface="+mn-cs"/>
            </a:rPr>
            <a:t>.</a:t>
          </a:r>
          <a:endParaRPr lang="en-US" altLang="ko-KR" sz="1100" b="1" i="0">
            <a:solidFill>
              <a:srgbClr val="0000FF"/>
            </a:solidFill>
            <a:latin typeface="+mn-ea"/>
            <a:ea typeface="+mn-ea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85725</xdr:colOff>
      <xdr:row>7</xdr:row>
      <xdr:rowOff>95250</xdr:rowOff>
    </xdr:from>
    <xdr:to>
      <xdr:col>11</xdr:col>
      <xdr:colOff>447676</xdr:colOff>
      <xdr:row>12</xdr:row>
      <xdr:rowOff>95250</xdr:rowOff>
    </xdr:to>
    <xdr:sp macro="" textlink="">
      <xdr:nvSpPr>
        <xdr:cNvPr id="4" name="TextBox 3"/>
        <xdr:cNvSpPr txBox="1"/>
      </xdr:nvSpPr>
      <xdr:spPr>
        <a:xfrm>
          <a:off x="6448425" y="1552575"/>
          <a:ext cx="4438651" cy="9525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altLang="ko-KR" sz="1100" b="1" i="0">
              <a:solidFill>
                <a:schemeClr val="tx1"/>
              </a:solidFill>
              <a:latin typeface="+mn-ea"/>
              <a:ea typeface="+mn-ea"/>
            </a:rPr>
            <a:t>※</a:t>
          </a:r>
          <a:r>
            <a:rPr lang="ko-KR" altLang="en-US" sz="1100" b="1" i="0">
              <a:solidFill>
                <a:schemeClr val="tx1"/>
              </a:solidFill>
              <a:latin typeface="+mn-ea"/>
              <a:ea typeface="+mn-ea"/>
            </a:rPr>
            <a:t>부탁드려요</a:t>
          </a:r>
          <a:r>
            <a:rPr lang="en-US" altLang="ko-KR" sz="1100" b="1" i="0">
              <a:solidFill>
                <a:schemeClr val="tx1"/>
              </a:solidFill>
              <a:latin typeface="+mn-ea"/>
              <a:ea typeface="+mn-ea"/>
            </a:rPr>
            <a:t>※</a:t>
          </a:r>
          <a:r>
            <a:rPr lang="en-US" altLang="ko-KR" sz="1100" b="1" i="0">
              <a:solidFill>
                <a:srgbClr val="0000FF"/>
              </a:solidFill>
              <a:latin typeface="+mn-ea"/>
              <a:ea typeface="+mn-ea"/>
            </a:rPr>
            <a:t> </a:t>
          </a:r>
        </a:p>
        <a:p>
          <a:pPr algn="l"/>
          <a:r>
            <a:rPr lang="ko-KR" altLang="en-US" sz="1100" b="1" i="0">
              <a:solidFill>
                <a:srgbClr val="0000FF"/>
              </a:solidFill>
              <a:latin typeface="+mn-ea"/>
              <a:ea typeface="+mn-ea"/>
            </a:rPr>
            <a:t>파일명 </a:t>
          </a:r>
          <a:r>
            <a:rPr lang="en-US" altLang="ko-KR" sz="1100" b="1" i="0">
              <a:solidFill>
                <a:srgbClr val="0000FF"/>
              </a:solidFill>
              <a:latin typeface="+mn-ea"/>
              <a:ea typeface="+mn-ea"/>
            </a:rPr>
            <a:t>:</a:t>
          </a:r>
          <a:r>
            <a:rPr lang="ko-KR" altLang="en-US" sz="1100" b="1" i="0">
              <a:solidFill>
                <a:srgbClr val="0000FF"/>
              </a:solidFill>
              <a:latin typeface="+mn-ea"/>
              <a:ea typeface="+mn-ea"/>
            </a:rPr>
            <a:t> </a:t>
          </a:r>
          <a:r>
            <a:rPr lang="en-US" altLang="ko-KR" sz="1100" b="1" i="0">
              <a:solidFill>
                <a:srgbClr val="0000FF"/>
              </a:solidFill>
              <a:latin typeface="+mn-ea"/>
              <a:ea typeface="+mn-ea"/>
            </a:rPr>
            <a:t>'</a:t>
          </a:r>
          <a:r>
            <a:rPr lang="ko-KR" altLang="en-US" sz="1100" b="1" i="0">
              <a:solidFill>
                <a:srgbClr val="0000FF"/>
              </a:solidFill>
              <a:latin typeface="+mn-ea"/>
              <a:ea typeface="+mn-ea"/>
            </a:rPr>
            <a:t>정책성</a:t>
          </a:r>
          <a:r>
            <a:rPr lang="en-US" altLang="ko-KR" sz="1100" b="1" i="0">
              <a:solidFill>
                <a:srgbClr val="0000FF"/>
              </a:solidFill>
              <a:latin typeface="+mn-ea"/>
              <a:ea typeface="+mn-ea"/>
            </a:rPr>
            <a:t>_</a:t>
          </a:r>
          <a:r>
            <a:rPr lang="ko-KR" altLang="en-US" sz="1100" b="1" i="0">
              <a:solidFill>
                <a:srgbClr val="0000FF"/>
              </a:solidFill>
              <a:latin typeface="+mn-ea"/>
              <a:ea typeface="+mn-ea"/>
            </a:rPr>
            <a:t>그룹명</a:t>
          </a:r>
          <a:r>
            <a:rPr lang="en-US" altLang="ko-KR" sz="1100" b="1" i="0">
              <a:solidFill>
                <a:srgbClr val="0000FF"/>
              </a:solidFill>
              <a:latin typeface="+mn-ea"/>
              <a:ea typeface="+mn-ea"/>
            </a:rPr>
            <a:t>_</a:t>
          </a:r>
          <a:r>
            <a:rPr lang="ko-KR" altLang="en-US" sz="1100" b="1" i="0">
              <a:solidFill>
                <a:srgbClr val="0000FF"/>
              </a:solidFill>
              <a:latin typeface="+mn-ea"/>
              <a:ea typeface="+mn-ea"/>
            </a:rPr>
            <a:t>작성자</a:t>
          </a:r>
          <a:r>
            <a:rPr lang="en-US" altLang="ko-KR" sz="1100" b="1" i="0">
              <a:solidFill>
                <a:srgbClr val="0000FF"/>
              </a:solidFill>
              <a:latin typeface="+mn-ea"/>
              <a:ea typeface="+mn-ea"/>
            </a:rPr>
            <a:t>' </a:t>
          </a:r>
        </a:p>
        <a:p>
          <a:pPr algn="l"/>
          <a:r>
            <a:rPr lang="en-US" altLang="ko-KR" sz="1100" b="1" i="0">
              <a:solidFill>
                <a:srgbClr val="0000FF"/>
              </a:solidFill>
              <a:latin typeface="+mn-ea"/>
              <a:ea typeface="+mn-ea"/>
            </a:rPr>
            <a:t>Ex)</a:t>
          </a:r>
          <a:r>
            <a:rPr lang="ko-KR" altLang="en-US" sz="1100" b="1" i="0">
              <a:solidFill>
                <a:srgbClr val="0000FF"/>
              </a:solidFill>
              <a:latin typeface="+mn-ea"/>
              <a:ea typeface="+mn-ea"/>
            </a:rPr>
            <a:t>정책성</a:t>
          </a:r>
          <a:r>
            <a:rPr lang="en-US" altLang="ko-KR" sz="1100" b="1" i="0">
              <a:solidFill>
                <a:srgbClr val="0000FF"/>
              </a:solidFill>
              <a:latin typeface="+mn-ea"/>
              <a:ea typeface="+mn-ea"/>
            </a:rPr>
            <a:t>_</a:t>
          </a:r>
          <a:r>
            <a:rPr kumimoji="0" lang="ko-KR" altLang="en-US" sz="1100" b="1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맑은 고딕" panose="020B0503020000020004" pitchFamily="50" charset="-127"/>
              <a:ea typeface="+mn-ea"/>
              <a:cs typeface="+mn-cs"/>
            </a:rPr>
            <a:t>경영지원그룹</a:t>
          </a:r>
          <a:r>
            <a:rPr kumimoji="0" lang="en-US" altLang="ko-KR" sz="1100" b="1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맑은 고딕" panose="020B0503020000020004" pitchFamily="50" charset="-127"/>
              <a:ea typeface="+mn-ea"/>
              <a:cs typeface="+mn-cs"/>
            </a:rPr>
            <a:t>_</a:t>
          </a:r>
          <a:r>
            <a:rPr kumimoji="0" lang="ko-KR" altLang="en-US" sz="1100" b="1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맑은 고딕" panose="020B0503020000020004" pitchFamily="50" charset="-127"/>
              <a:ea typeface="+mn-ea"/>
              <a:cs typeface="+mn-cs"/>
            </a:rPr>
            <a:t>이현석 으로 변경 저장 회신 부탁드립니다</a:t>
          </a:r>
          <a:r>
            <a:rPr kumimoji="0" lang="en-US" altLang="ko-KR" sz="1100" b="1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맑은 고딕" panose="020B0503020000020004" pitchFamily="50" charset="-127"/>
              <a:ea typeface="+mn-ea"/>
              <a:cs typeface="+mn-cs"/>
            </a:rPr>
            <a:t>.</a:t>
          </a:r>
          <a:endParaRPr lang="en-US" altLang="ko-KR" sz="1100" b="1" i="0">
            <a:solidFill>
              <a:srgbClr val="0000FF"/>
            </a:solidFill>
            <a:latin typeface="+mn-ea"/>
            <a:ea typeface="+mn-ea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60"/>
  <sheetViews>
    <sheetView showGridLines="0" workbookViewId="0">
      <selection activeCell="E23" sqref="E23"/>
    </sheetView>
  </sheetViews>
  <sheetFormatPr defaultRowHeight="16.5" x14ac:dyDescent="0.3"/>
  <cols>
    <col min="1" max="2" width="0.875" customWidth="1"/>
    <col min="4" max="5" width="11.625" customWidth="1"/>
    <col min="6" max="6" width="39.375" customWidth="1"/>
    <col min="7" max="7" width="20" customWidth="1"/>
    <col min="8" max="8" width="11.75" customWidth="1"/>
    <col min="9" max="9" width="12.875" customWidth="1"/>
    <col min="11" max="11" width="0.875" customWidth="1"/>
  </cols>
  <sheetData>
    <row r="1" spans="2:16" ht="11.25" customHeight="1" x14ac:dyDescent="0.3"/>
    <row r="2" spans="2:16" ht="24.75" customHeight="1" thickBot="1" x14ac:dyDescent="0.35">
      <c r="B2" s="1" t="s">
        <v>17</v>
      </c>
    </row>
    <row r="3" spans="2:16" ht="18.95" customHeight="1" x14ac:dyDescent="0.3">
      <c r="C3" s="7" t="s">
        <v>0</v>
      </c>
      <c r="D3" s="8" t="s">
        <v>1</v>
      </c>
      <c r="E3" s="8" t="s">
        <v>2</v>
      </c>
      <c r="F3" s="8" t="s">
        <v>3</v>
      </c>
      <c r="G3" s="8" t="s">
        <v>4</v>
      </c>
      <c r="H3" s="8" t="s">
        <v>41</v>
      </c>
      <c r="I3" s="9" t="s">
        <v>39</v>
      </c>
      <c r="J3" s="14" t="s">
        <v>5</v>
      </c>
      <c r="K3" s="3"/>
      <c r="L3" s="3"/>
      <c r="M3" s="3"/>
      <c r="N3" s="3"/>
      <c r="O3" s="2"/>
      <c r="P3" s="2"/>
    </row>
    <row r="4" spans="2:16" ht="15" customHeight="1" x14ac:dyDescent="0.3">
      <c r="C4" s="88" t="s">
        <v>10</v>
      </c>
      <c r="D4" s="10" t="s">
        <v>7</v>
      </c>
      <c r="E4" s="10" t="s">
        <v>8</v>
      </c>
      <c r="F4" s="24"/>
      <c r="G4" s="24"/>
      <c r="H4" s="10"/>
      <c r="I4" s="11"/>
      <c r="J4" s="15"/>
      <c r="K4" s="3"/>
      <c r="L4" s="3"/>
      <c r="M4" s="3"/>
      <c r="N4" s="3"/>
      <c r="O4" s="2"/>
      <c r="P4" s="2"/>
    </row>
    <row r="5" spans="2:16" ht="15" customHeight="1" x14ac:dyDescent="0.3">
      <c r="C5" s="85"/>
      <c r="D5" s="12" t="s">
        <v>6</v>
      </c>
      <c r="E5" s="12" t="s">
        <v>9</v>
      </c>
      <c r="F5" s="25"/>
      <c r="G5" s="25"/>
      <c r="H5" s="12"/>
      <c r="I5" s="13"/>
      <c r="J5" s="16"/>
      <c r="K5" s="3"/>
      <c r="L5" s="3"/>
      <c r="M5" s="3"/>
      <c r="N5" s="3"/>
      <c r="O5" s="2"/>
      <c r="P5" s="2"/>
    </row>
    <row r="6" spans="2:16" ht="15" customHeight="1" x14ac:dyDescent="0.3">
      <c r="C6" s="85"/>
      <c r="D6" s="12" t="s">
        <v>25</v>
      </c>
      <c r="E6" s="12" t="s">
        <v>26</v>
      </c>
      <c r="F6" s="25"/>
      <c r="G6" s="25"/>
      <c r="H6" s="12"/>
      <c r="I6" s="13"/>
      <c r="J6" s="16"/>
      <c r="K6" s="3"/>
      <c r="L6" s="3"/>
      <c r="M6" s="3"/>
      <c r="N6" s="3"/>
      <c r="O6" s="2"/>
      <c r="P6" s="2"/>
    </row>
    <row r="7" spans="2:16" ht="15" customHeight="1" x14ac:dyDescent="0.3">
      <c r="C7" s="85"/>
      <c r="D7" s="12" t="s">
        <v>25</v>
      </c>
      <c r="E7" s="12" t="s">
        <v>26</v>
      </c>
      <c r="F7" s="25"/>
      <c r="G7" s="25"/>
      <c r="H7" s="12"/>
      <c r="I7" s="13"/>
      <c r="J7" s="16"/>
      <c r="K7" s="3"/>
      <c r="L7" s="3"/>
      <c r="M7" s="3"/>
      <c r="N7" s="3"/>
      <c r="O7" s="2"/>
      <c r="P7" s="2"/>
    </row>
    <row r="8" spans="2:16" ht="15" customHeight="1" x14ac:dyDescent="0.3">
      <c r="C8" s="85"/>
      <c r="D8" s="12" t="s">
        <v>25</v>
      </c>
      <c r="E8" s="12" t="s">
        <v>26</v>
      </c>
      <c r="F8" s="25"/>
      <c r="G8" s="25"/>
      <c r="H8" s="12"/>
      <c r="I8" s="13"/>
      <c r="J8" s="16"/>
      <c r="K8" s="3"/>
      <c r="L8" s="3"/>
      <c r="M8" s="3"/>
      <c r="N8" s="3"/>
      <c r="O8" s="2"/>
      <c r="P8" s="2"/>
    </row>
    <row r="9" spans="2:16" ht="15" customHeight="1" x14ac:dyDescent="0.3">
      <c r="C9" s="85"/>
      <c r="D9" s="79" t="s">
        <v>34</v>
      </c>
      <c r="E9" s="80"/>
      <c r="F9" s="80"/>
      <c r="G9" s="80"/>
      <c r="H9" s="80"/>
      <c r="I9" s="81"/>
      <c r="J9" s="17">
        <f>SUM(J4:J8)</f>
        <v>0</v>
      </c>
      <c r="K9" s="3"/>
      <c r="L9" s="3"/>
      <c r="M9" s="3"/>
      <c r="N9" s="3"/>
      <c r="O9" s="2"/>
      <c r="P9" s="2"/>
    </row>
    <row r="10" spans="2:16" ht="15" customHeight="1" x14ac:dyDescent="0.3">
      <c r="C10" s="85"/>
      <c r="D10" s="87" t="s">
        <v>12</v>
      </c>
      <c r="E10" s="87"/>
      <c r="F10" s="25"/>
      <c r="G10" s="25"/>
      <c r="H10" s="12"/>
      <c r="I10" s="13"/>
      <c r="J10" s="16"/>
      <c r="K10" s="3"/>
      <c r="L10" s="3"/>
      <c r="M10" s="3"/>
      <c r="N10" s="3"/>
      <c r="O10" s="2"/>
      <c r="P10" s="2"/>
    </row>
    <row r="11" spans="2:16" ht="15" customHeight="1" x14ac:dyDescent="0.3">
      <c r="C11" s="85"/>
      <c r="D11" s="12" t="s">
        <v>14</v>
      </c>
      <c r="E11" s="12" t="s">
        <v>16</v>
      </c>
      <c r="F11" s="25"/>
      <c r="G11" s="25"/>
      <c r="H11" s="12"/>
      <c r="I11" s="13"/>
      <c r="J11" s="16"/>
      <c r="K11" s="3"/>
      <c r="L11" s="3"/>
      <c r="M11" s="3"/>
      <c r="N11" s="3"/>
      <c r="O11" s="2"/>
      <c r="P11" s="2"/>
    </row>
    <row r="12" spans="2:16" ht="15" customHeight="1" x14ac:dyDescent="0.3">
      <c r="C12" s="85"/>
      <c r="D12" s="12" t="s">
        <v>13</v>
      </c>
      <c r="E12" s="12" t="s">
        <v>15</v>
      </c>
      <c r="F12" s="25"/>
      <c r="G12" s="25"/>
      <c r="H12" s="12"/>
      <c r="I12" s="13"/>
      <c r="J12" s="16"/>
      <c r="K12" s="3"/>
      <c r="L12" s="3"/>
      <c r="M12" s="3"/>
      <c r="N12" s="3"/>
      <c r="O12" s="2"/>
      <c r="P12" s="2"/>
    </row>
    <row r="13" spans="2:16" ht="15" customHeight="1" x14ac:dyDescent="0.3">
      <c r="C13" s="85"/>
      <c r="D13" s="12" t="s">
        <v>25</v>
      </c>
      <c r="E13" s="12" t="s">
        <v>26</v>
      </c>
      <c r="F13" s="25"/>
      <c r="G13" s="25"/>
      <c r="H13" s="12"/>
      <c r="I13" s="13"/>
      <c r="J13" s="16"/>
      <c r="K13" s="3"/>
      <c r="L13" s="3"/>
      <c r="M13" s="3"/>
      <c r="N13" s="3"/>
      <c r="O13" s="2"/>
      <c r="P13" s="2"/>
    </row>
    <row r="14" spans="2:16" ht="15" customHeight="1" x14ac:dyDescent="0.3">
      <c r="C14" s="85"/>
      <c r="D14" s="79" t="s">
        <v>34</v>
      </c>
      <c r="E14" s="80"/>
      <c r="F14" s="80"/>
      <c r="G14" s="80"/>
      <c r="H14" s="80"/>
      <c r="I14" s="81"/>
      <c r="J14" s="17">
        <f>SUM(J11:J13)</f>
        <v>0</v>
      </c>
      <c r="K14" s="3"/>
      <c r="L14" s="3"/>
      <c r="M14" s="3"/>
      <c r="N14" s="3"/>
      <c r="O14" s="2"/>
      <c r="P14" s="2"/>
    </row>
    <row r="15" spans="2:16" ht="15" customHeight="1" x14ac:dyDescent="0.3">
      <c r="C15" s="85" t="s">
        <v>20</v>
      </c>
      <c r="D15" s="12" t="s">
        <v>19</v>
      </c>
      <c r="E15" s="12" t="s">
        <v>8</v>
      </c>
      <c r="F15" s="25"/>
      <c r="G15" s="25"/>
      <c r="H15" s="12"/>
      <c r="I15" s="13"/>
      <c r="J15" s="16"/>
      <c r="K15" s="3"/>
      <c r="L15" s="3"/>
      <c r="M15" s="3"/>
      <c r="N15" s="3"/>
      <c r="O15" s="2"/>
      <c r="P15" s="2"/>
    </row>
    <row r="16" spans="2:16" ht="15" customHeight="1" x14ac:dyDescent="0.3">
      <c r="C16" s="85"/>
      <c r="D16" s="12" t="s">
        <v>18</v>
      </c>
      <c r="E16" s="12" t="s">
        <v>9</v>
      </c>
      <c r="F16" s="25"/>
      <c r="G16" s="25"/>
      <c r="H16" s="12"/>
      <c r="I16" s="13"/>
      <c r="J16" s="16"/>
      <c r="K16" s="3"/>
      <c r="L16" s="3"/>
      <c r="M16" s="3"/>
      <c r="N16" s="3"/>
      <c r="O16" s="2"/>
      <c r="P16" s="2"/>
    </row>
    <row r="17" spans="3:16" ht="15" customHeight="1" x14ac:dyDescent="0.3">
      <c r="C17" s="85"/>
      <c r="D17" s="12" t="s">
        <v>25</v>
      </c>
      <c r="E17" s="12" t="s">
        <v>26</v>
      </c>
      <c r="F17" s="25"/>
      <c r="G17" s="25"/>
      <c r="H17" s="12"/>
      <c r="I17" s="13"/>
      <c r="J17" s="16"/>
      <c r="K17" s="3"/>
      <c r="L17" s="3"/>
      <c r="M17" s="3"/>
      <c r="N17" s="3"/>
      <c r="O17" s="2"/>
      <c r="P17" s="2"/>
    </row>
    <row r="18" spans="3:16" ht="15" customHeight="1" x14ac:dyDescent="0.3">
      <c r="C18" s="85"/>
      <c r="D18" s="12" t="s">
        <v>25</v>
      </c>
      <c r="E18" s="12" t="s">
        <v>26</v>
      </c>
      <c r="F18" s="25"/>
      <c r="G18" s="25"/>
      <c r="H18" s="12"/>
      <c r="I18" s="13"/>
      <c r="J18" s="16"/>
      <c r="K18" s="3"/>
      <c r="L18" s="3"/>
      <c r="M18" s="3"/>
      <c r="N18" s="3"/>
      <c r="O18" s="2"/>
      <c r="P18" s="2"/>
    </row>
    <row r="19" spans="3:16" ht="15" customHeight="1" x14ac:dyDescent="0.3">
      <c r="C19" s="85"/>
      <c r="D19" s="79" t="s">
        <v>34</v>
      </c>
      <c r="E19" s="80"/>
      <c r="F19" s="80"/>
      <c r="G19" s="80"/>
      <c r="H19" s="80"/>
      <c r="I19" s="81"/>
      <c r="J19" s="17">
        <f>SUM(J15:J18)</f>
        <v>0</v>
      </c>
      <c r="K19" s="3"/>
      <c r="L19" s="3"/>
      <c r="M19" s="3"/>
      <c r="N19" s="3"/>
      <c r="O19" s="2"/>
      <c r="P19" s="2"/>
    </row>
    <row r="20" spans="3:16" ht="15" customHeight="1" x14ac:dyDescent="0.3">
      <c r="C20" s="85" t="s">
        <v>27</v>
      </c>
      <c r="D20" s="12" t="s">
        <v>7</v>
      </c>
      <c r="E20" s="12" t="s">
        <v>8</v>
      </c>
      <c r="F20" s="25"/>
      <c r="G20" s="25"/>
      <c r="H20" s="12"/>
      <c r="I20" s="13"/>
      <c r="J20" s="16"/>
      <c r="K20" s="3"/>
      <c r="L20" s="3"/>
      <c r="M20" s="3"/>
      <c r="N20" s="3"/>
      <c r="O20" s="2"/>
      <c r="P20" s="2"/>
    </row>
    <row r="21" spans="3:16" ht="15" customHeight="1" x14ac:dyDescent="0.3">
      <c r="C21" s="85"/>
      <c r="D21" s="12" t="s">
        <v>6</v>
      </c>
      <c r="E21" s="12" t="s">
        <v>9</v>
      </c>
      <c r="F21" s="25"/>
      <c r="G21" s="25"/>
      <c r="H21" s="12"/>
      <c r="I21" s="13"/>
      <c r="J21" s="16"/>
      <c r="K21" s="3"/>
      <c r="L21" s="3"/>
      <c r="M21" s="3"/>
      <c r="N21" s="3"/>
      <c r="O21" s="2"/>
      <c r="P21" s="2"/>
    </row>
    <row r="22" spans="3:16" ht="15" customHeight="1" x14ac:dyDescent="0.3">
      <c r="C22" s="85"/>
      <c r="D22" s="12" t="s">
        <v>25</v>
      </c>
      <c r="E22" s="12" t="s">
        <v>26</v>
      </c>
      <c r="F22" s="25"/>
      <c r="G22" s="25"/>
      <c r="H22" s="12"/>
      <c r="I22" s="13"/>
      <c r="J22" s="16"/>
      <c r="K22" s="3"/>
      <c r="L22" s="3"/>
      <c r="M22" s="3"/>
      <c r="N22" s="3"/>
      <c r="O22" s="2"/>
      <c r="P22" s="2"/>
    </row>
    <row r="23" spans="3:16" ht="15" customHeight="1" x14ac:dyDescent="0.3">
      <c r="C23" s="85"/>
      <c r="D23" s="12" t="s">
        <v>25</v>
      </c>
      <c r="E23" s="12" t="s">
        <v>26</v>
      </c>
      <c r="F23" s="25"/>
      <c r="G23" s="25"/>
      <c r="H23" s="12"/>
      <c r="I23" s="13"/>
      <c r="J23" s="16"/>
      <c r="K23" s="3"/>
      <c r="L23" s="3"/>
      <c r="M23" s="3"/>
      <c r="N23" s="3"/>
      <c r="O23" s="2"/>
      <c r="P23" s="2"/>
    </row>
    <row r="24" spans="3:16" ht="15" customHeight="1" x14ac:dyDescent="0.3">
      <c r="C24" s="85"/>
      <c r="D24" s="12" t="s">
        <v>25</v>
      </c>
      <c r="E24" s="12" t="s">
        <v>26</v>
      </c>
      <c r="F24" s="25"/>
      <c r="G24" s="25"/>
      <c r="H24" s="12"/>
      <c r="I24" s="13"/>
      <c r="J24" s="16"/>
      <c r="K24" s="3"/>
      <c r="L24" s="3"/>
      <c r="M24" s="3"/>
      <c r="N24" s="3"/>
      <c r="O24" s="2"/>
      <c r="P24" s="2"/>
    </row>
    <row r="25" spans="3:16" ht="15" customHeight="1" x14ac:dyDescent="0.3">
      <c r="C25" s="85"/>
      <c r="D25" s="79" t="s">
        <v>34</v>
      </c>
      <c r="E25" s="80"/>
      <c r="F25" s="80"/>
      <c r="G25" s="80"/>
      <c r="H25" s="80"/>
      <c r="I25" s="81"/>
      <c r="J25" s="17">
        <f>SUM(J20:J24)</f>
        <v>0</v>
      </c>
      <c r="K25" s="3"/>
      <c r="L25" s="3"/>
      <c r="M25" s="3"/>
      <c r="N25" s="3"/>
      <c r="O25" s="2"/>
      <c r="P25" s="2"/>
    </row>
    <row r="26" spans="3:16" ht="15" customHeight="1" x14ac:dyDescent="0.3">
      <c r="C26" s="85"/>
      <c r="D26" s="12" t="s">
        <v>21</v>
      </c>
      <c r="E26" s="12" t="s">
        <v>22</v>
      </c>
      <c r="F26" s="25"/>
      <c r="G26" s="25"/>
      <c r="H26" s="12"/>
      <c r="I26" s="13"/>
      <c r="J26" s="16"/>
      <c r="K26" s="3"/>
      <c r="L26" s="3"/>
      <c r="M26" s="3"/>
      <c r="N26" s="3"/>
      <c r="O26" s="2"/>
      <c r="P26" s="2"/>
    </row>
    <row r="27" spans="3:16" ht="15" customHeight="1" x14ac:dyDescent="0.3">
      <c r="C27" s="85"/>
      <c r="D27" s="12" t="s">
        <v>21</v>
      </c>
      <c r="E27" s="12" t="s">
        <v>23</v>
      </c>
      <c r="F27" s="25"/>
      <c r="G27" s="25"/>
      <c r="H27" s="12"/>
      <c r="I27" s="13"/>
      <c r="J27" s="16"/>
      <c r="K27" s="3"/>
      <c r="L27" s="3"/>
      <c r="M27" s="3"/>
      <c r="N27" s="3"/>
      <c r="O27" s="2"/>
      <c r="P27" s="2"/>
    </row>
    <row r="28" spans="3:16" ht="15" customHeight="1" x14ac:dyDescent="0.3">
      <c r="C28" s="85"/>
      <c r="D28" s="12" t="s">
        <v>25</v>
      </c>
      <c r="E28" s="12" t="s">
        <v>26</v>
      </c>
      <c r="F28" s="25"/>
      <c r="G28" s="25"/>
      <c r="H28" s="12"/>
      <c r="I28" s="13"/>
      <c r="J28" s="16"/>
      <c r="K28" s="3"/>
      <c r="L28" s="3"/>
      <c r="M28" s="3"/>
      <c r="N28" s="3"/>
      <c r="O28" s="2"/>
      <c r="P28" s="2"/>
    </row>
    <row r="29" spans="3:16" ht="15" customHeight="1" x14ac:dyDescent="0.3">
      <c r="C29" s="85"/>
      <c r="D29" s="12" t="s">
        <v>25</v>
      </c>
      <c r="E29" s="12" t="s">
        <v>26</v>
      </c>
      <c r="F29" s="25"/>
      <c r="G29" s="25"/>
      <c r="H29" s="12"/>
      <c r="I29" s="13"/>
      <c r="J29" s="16"/>
      <c r="K29" s="3"/>
      <c r="L29" s="3"/>
      <c r="M29" s="3"/>
      <c r="N29" s="3"/>
      <c r="O29" s="2"/>
      <c r="P29" s="2"/>
    </row>
    <row r="30" spans="3:16" ht="15" customHeight="1" x14ac:dyDescent="0.3">
      <c r="C30" s="85"/>
      <c r="D30" s="79" t="s">
        <v>34</v>
      </c>
      <c r="E30" s="80"/>
      <c r="F30" s="80"/>
      <c r="G30" s="80"/>
      <c r="H30" s="80"/>
      <c r="I30" s="81"/>
      <c r="J30" s="17">
        <f>SUM(J26:J29)</f>
        <v>0</v>
      </c>
      <c r="K30" s="3"/>
      <c r="L30" s="3"/>
      <c r="M30" s="3"/>
      <c r="N30" s="3"/>
      <c r="O30" s="2"/>
      <c r="P30" s="2"/>
    </row>
    <row r="31" spans="3:16" ht="15" customHeight="1" x14ac:dyDescent="0.3">
      <c r="C31" s="85" t="s">
        <v>28</v>
      </c>
      <c r="D31" s="12" t="s">
        <v>30</v>
      </c>
      <c r="E31" s="12" t="s">
        <v>31</v>
      </c>
      <c r="F31" s="25"/>
      <c r="G31" s="25"/>
      <c r="H31" s="12"/>
      <c r="I31" s="13"/>
      <c r="J31" s="16"/>
      <c r="K31" s="3"/>
      <c r="L31" s="3"/>
      <c r="M31" s="3"/>
      <c r="N31" s="3"/>
      <c r="O31" s="2"/>
      <c r="P31" s="2"/>
    </row>
    <row r="32" spans="3:16" ht="15" customHeight="1" x14ac:dyDescent="0.3">
      <c r="C32" s="85"/>
      <c r="D32" s="12" t="s">
        <v>29</v>
      </c>
      <c r="E32" s="12" t="s">
        <v>32</v>
      </c>
      <c r="F32" s="25"/>
      <c r="G32" s="25"/>
      <c r="H32" s="12"/>
      <c r="I32" s="13"/>
      <c r="J32" s="16"/>
      <c r="K32" s="3"/>
      <c r="L32" s="3"/>
      <c r="M32" s="3"/>
      <c r="N32" s="3"/>
      <c r="O32" s="2"/>
      <c r="P32" s="2"/>
    </row>
    <row r="33" spans="3:16" ht="15" customHeight="1" x14ac:dyDescent="0.3">
      <c r="C33" s="85"/>
      <c r="D33" s="12" t="s">
        <v>25</v>
      </c>
      <c r="E33" s="12" t="s">
        <v>26</v>
      </c>
      <c r="F33" s="25"/>
      <c r="G33" s="25"/>
      <c r="H33" s="12"/>
      <c r="I33" s="13"/>
      <c r="J33" s="16"/>
      <c r="K33" s="3"/>
      <c r="L33" s="3"/>
      <c r="M33" s="3"/>
      <c r="N33" s="3"/>
      <c r="O33" s="2"/>
      <c r="P33" s="2"/>
    </row>
    <row r="34" spans="3:16" ht="15" customHeight="1" x14ac:dyDescent="0.3">
      <c r="C34" s="85"/>
      <c r="D34" s="12" t="s">
        <v>25</v>
      </c>
      <c r="E34" s="12" t="s">
        <v>26</v>
      </c>
      <c r="F34" s="25"/>
      <c r="G34" s="25"/>
      <c r="H34" s="12"/>
      <c r="I34" s="13"/>
      <c r="J34" s="16"/>
      <c r="K34" s="3"/>
      <c r="L34" s="3"/>
      <c r="M34" s="3"/>
      <c r="N34" s="3"/>
      <c r="O34" s="2"/>
      <c r="P34" s="2"/>
    </row>
    <row r="35" spans="3:16" ht="15" customHeight="1" x14ac:dyDescent="0.3">
      <c r="C35" s="86"/>
      <c r="D35" s="82" t="s">
        <v>34</v>
      </c>
      <c r="E35" s="83"/>
      <c r="F35" s="83"/>
      <c r="G35" s="83"/>
      <c r="H35" s="83"/>
      <c r="I35" s="84"/>
      <c r="J35" s="18">
        <f>SUM(J31:J34)</f>
        <v>0</v>
      </c>
      <c r="K35" s="3"/>
      <c r="L35" s="3"/>
      <c r="M35" s="3"/>
      <c r="N35" s="3"/>
      <c r="O35" s="2"/>
      <c r="P35" s="2"/>
    </row>
    <row r="36" spans="3:16" ht="15" customHeight="1" thickBot="1" x14ac:dyDescent="0.35">
      <c r="C36" s="76" t="s">
        <v>35</v>
      </c>
      <c r="D36" s="77"/>
      <c r="E36" s="77"/>
      <c r="F36" s="77"/>
      <c r="G36" s="77"/>
      <c r="H36" s="77"/>
      <c r="I36" s="78"/>
      <c r="J36" s="19">
        <f>J35+J30+J25+J19+J14+J10+J9</f>
        <v>0</v>
      </c>
      <c r="K36" s="3"/>
      <c r="L36" s="3"/>
      <c r="M36" s="3"/>
      <c r="N36" s="3"/>
      <c r="O36" s="2"/>
      <c r="P36" s="2"/>
    </row>
    <row r="37" spans="3:16" ht="20.100000000000001" customHeight="1" x14ac:dyDescent="0.3">
      <c r="C37" s="3"/>
      <c r="D37" s="4"/>
      <c r="E37" s="4"/>
      <c r="F37" s="4"/>
      <c r="G37" s="4"/>
      <c r="H37" s="4"/>
      <c r="I37" s="4"/>
      <c r="J37" s="4"/>
      <c r="K37" s="3"/>
      <c r="L37" s="3"/>
      <c r="M37" s="3"/>
      <c r="N37" s="3"/>
      <c r="O37" s="2"/>
      <c r="P37" s="2"/>
    </row>
    <row r="38" spans="3:16" ht="20.100000000000001" customHeight="1" x14ac:dyDescent="0.3">
      <c r="C38" s="3"/>
      <c r="D38" s="4"/>
      <c r="E38" s="4"/>
      <c r="F38" s="4"/>
      <c r="G38" s="4"/>
      <c r="H38" s="4"/>
      <c r="I38" s="4"/>
      <c r="J38" s="4"/>
      <c r="K38" s="3"/>
      <c r="L38" s="3"/>
      <c r="M38" s="3"/>
      <c r="N38" s="3"/>
      <c r="O38" s="2"/>
      <c r="P38" s="2"/>
    </row>
    <row r="39" spans="3:16" ht="20.100000000000001" customHeight="1" x14ac:dyDescent="0.3">
      <c r="C39" s="3"/>
      <c r="D39" s="4"/>
      <c r="E39" s="4"/>
      <c r="F39" s="4"/>
      <c r="G39" s="4"/>
      <c r="H39" s="4"/>
      <c r="I39" s="4"/>
      <c r="J39" s="4"/>
      <c r="K39" s="3"/>
      <c r="L39" s="3"/>
      <c r="M39" s="3"/>
      <c r="N39" s="3"/>
      <c r="O39" s="2"/>
      <c r="P39" s="2"/>
    </row>
    <row r="40" spans="3:16" ht="20.100000000000001" customHeight="1" x14ac:dyDescent="0.3">
      <c r="C40" s="3"/>
      <c r="D40" s="4"/>
      <c r="E40" s="4"/>
      <c r="F40" s="4"/>
      <c r="G40" s="4"/>
      <c r="H40" s="4"/>
      <c r="I40" s="4"/>
      <c r="J40" s="4"/>
      <c r="K40" s="3"/>
      <c r="L40" s="3"/>
      <c r="M40" s="3"/>
      <c r="N40" s="3"/>
      <c r="O40" s="2"/>
      <c r="P40" s="2"/>
    </row>
    <row r="41" spans="3:16" ht="20.100000000000001" customHeight="1" x14ac:dyDescent="0.3">
      <c r="C41" s="3"/>
      <c r="D41" s="4"/>
      <c r="E41" s="4"/>
      <c r="F41" s="4"/>
      <c r="G41" s="4"/>
      <c r="H41" s="4"/>
      <c r="I41" s="4"/>
      <c r="J41" s="4"/>
      <c r="K41" s="3"/>
      <c r="L41" s="3"/>
      <c r="M41" s="3"/>
      <c r="N41" s="3"/>
      <c r="O41" s="2"/>
      <c r="P41" s="2"/>
    </row>
    <row r="42" spans="3:16" ht="20.100000000000001" customHeight="1" x14ac:dyDescent="0.3">
      <c r="C42" s="3"/>
      <c r="D42" s="4"/>
      <c r="E42" s="4"/>
      <c r="F42" s="4"/>
      <c r="G42" s="4"/>
      <c r="H42" s="4"/>
      <c r="I42" s="4"/>
      <c r="J42" s="4"/>
      <c r="K42" s="3"/>
      <c r="L42" s="3"/>
      <c r="M42" s="3"/>
      <c r="N42" s="3"/>
      <c r="O42" s="2"/>
      <c r="P42" s="2"/>
    </row>
    <row r="43" spans="3:16" ht="20.100000000000001" customHeight="1" x14ac:dyDescent="0.3">
      <c r="C43" s="3"/>
      <c r="D43" s="4"/>
      <c r="E43" s="4"/>
      <c r="F43" s="4"/>
      <c r="G43" s="4"/>
      <c r="H43" s="4"/>
      <c r="I43" s="4"/>
      <c r="J43" s="4"/>
      <c r="K43" s="3"/>
      <c r="L43" s="3"/>
      <c r="M43" s="3"/>
      <c r="N43" s="3"/>
      <c r="O43" s="2"/>
      <c r="P43" s="2"/>
    </row>
    <row r="44" spans="3:16" ht="20.100000000000001" customHeight="1" x14ac:dyDescent="0.3">
      <c r="C44" s="3"/>
      <c r="D44" s="4"/>
      <c r="E44" s="4"/>
      <c r="F44" s="4"/>
      <c r="G44" s="4"/>
      <c r="H44" s="4"/>
      <c r="I44" s="4"/>
      <c r="J44" s="4"/>
      <c r="K44" s="3"/>
      <c r="L44" s="3"/>
      <c r="M44" s="3"/>
      <c r="N44" s="3"/>
      <c r="O44" s="2"/>
      <c r="P44" s="2"/>
    </row>
    <row r="45" spans="3:16" ht="20.100000000000001" customHeight="1" x14ac:dyDescent="0.3">
      <c r="C45" s="3"/>
      <c r="D45" s="4"/>
      <c r="E45" s="4"/>
      <c r="F45" s="4"/>
      <c r="G45" s="4"/>
      <c r="H45" s="4"/>
      <c r="I45" s="4"/>
      <c r="J45" s="4"/>
      <c r="K45" s="3"/>
      <c r="L45" s="3"/>
      <c r="M45" s="3"/>
      <c r="N45" s="3"/>
      <c r="O45" s="2"/>
      <c r="P45" s="2"/>
    </row>
    <row r="46" spans="3:16" ht="20.100000000000001" customHeight="1" x14ac:dyDescent="0.3">
      <c r="C46" s="3"/>
      <c r="D46" s="3"/>
      <c r="E46" s="3"/>
      <c r="F46" s="4"/>
      <c r="G46" s="4"/>
      <c r="H46" s="4"/>
      <c r="I46" s="4"/>
      <c r="J46" s="4"/>
      <c r="K46" s="3"/>
      <c r="L46" s="3"/>
      <c r="M46" s="3"/>
      <c r="N46" s="3"/>
      <c r="O46" s="2"/>
      <c r="P46" s="2"/>
    </row>
    <row r="47" spans="3:16" ht="20.100000000000001" customHeight="1" x14ac:dyDescent="0.3">
      <c r="C47" s="3"/>
      <c r="D47" s="3"/>
      <c r="E47" s="3"/>
      <c r="F47" s="4"/>
      <c r="G47" s="4"/>
      <c r="H47" s="4"/>
      <c r="I47" s="4"/>
      <c r="J47" s="4"/>
      <c r="K47" s="3"/>
      <c r="L47" s="3"/>
      <c r="M47" s="3"/>
      <c r="N47" s="3"/>
      <c r="O47" s="2"/>
      <c r="P47" s="2"/>
    </row>
    <row r="48" spans="3:16" ht="20.100000000000001" customHeight="1" x14ac:dyDescent="0.3">
      <c r="C48" s="3"/>
      <c r="D48" s="3"/>
      <c r="E48" s="3"/>
      <c r="F48" s="4"/>
      <c r="G48" s="4"/>
      <c r="H48" s="4"/>
      <c r="I48" s="4"/>
      <c r="J48" s="4"/>
      <c r="K48" s="3"/>
      <c r="L48" s="3"/>
      <c r="M48" s="3"/>
      <c r="N48" s="3"/>
      <c r="O48" s="2"/>
      <c r="P48" s="2"/>
    </row>
    <row r="49" spans="3:16" ht="20.100000000000001" customHeight="1" x14ac:dyDescent="0.3">
      <c r="C49" s="3"/>
      <c r="D49" s="3"/>
      <c r="E49" s="3"/>
      <c r="F49" s="4"/>
      <c r="G49" s="4"/>
      <c r="H49" s="4"/>
      <c r="I49" s="4"/>
      <c r="J49" s="4"/>
      <c r="K49" s="3"/>
      <c r="L49" s="3"/>
      <c r="M49" s="3"/>
      <c r="N49" s="3"/>
      <c r="O49" s="2"/>
      <c r="P49" s="2"/>
    </row>
    <row r="50" spans="3:16" ht="20.100000000000001" customHeight="1" x14ac:dyDescent="0.3">
      <c r="C50" s="3"/>
      <c r="D50" s="3"/>
      <c r="E50" s="3"/>
      <c r="F50" s="4"/>
      <c r="G50" s="4"/>
      <c r="H50" s="4"/>
      <c r="I50" s="4"/>
      <c r="J50" s="4"/>
      <c r="K50" s="3"/>
      <c r="L50" s="3"/>
      <c r="M50" s="3"/>
      <c r="N50" s="3"/>
      <c r="O50" s="2"/>
      <c r="P50" s="2"/>
    </row>
    <row r="51" spans="3:16" ht="20.100000000000001" customHeight="1" x14ac:dyDescent="0.3">
      <c r="C51" s="3"/>
      <c r="D51" s="3"/>
      <c r="E51" s="3"/>
      <c r="F51" s="4"/>
      <c r="G51" s="4"/>
      <c r="H51" s="4"/>
      <c r="I51" s="4"/>
      <c r="J51" s="4"/>
      <c r="K51" s="3"/>
      <c r="L51" s="3"/>
      <c r="M51" s="3"/>
      <c r="N51" s="3"/>
      <c r="O51" s="2"/>
      <c r="P51" s="2"/>
    </row>
    <row r="52" spans="3:16" ht="20.100000000000001" customHeight="1" x14ac:dyDescent="0.3">
      <c r="C52" s="3"/>
      <c r="D52" s="3"/>
      <c r="E52" s="3"/>
      <c r="F52" s="4"/>
      <c r="G52" s="4"/>
      <c r="H52" s="4"/>
      <c r="I52" s="4"/>
      <c r="J52" s="4"/>
      <c r="K52" s="3"/>
      <c r="L52" s="3"/>
      <c r="M52" s="3"/>
      <c r="N52" s="3"/>
      <c r="O52" s="2"/>
      <c r="P52" s="2"/>
    </row>
    <row r="53" spans="3:16" ht="20.100000000000001" customHeight="1" x14ac:dyDescent="0.3">
      <c r="C53" s="3"/>
      <c r="D53" s="3"/>
      <c r="E53" s="3"/>
      <c r="F53" s="4"/>
      <c r="G53" s="4"/>
      <c r="H53" s="4"/>
      <c r="I53" s="4"/>
      <c r="J53" s="4"/>
      <c r="K53" s="3"/>
      <c r="L53" s="3"/>
      <c r="M53" s="3"/>
      <c r="N53" s="3"/>
      <c r="O53" s="2"/>
      <c r="P53" s="2"/>
    </row>
    <row r="54" spans="3:16" ht="20.100000000000001" customHeight="1" x14ac:dyDescent="0.3">
      <c r="C54" s="2"/>
      <c r="D54" s="2"/>
      <c r="E54" s="2"/>
      <c r="F54" s="5"/>
      <c r="G54" s="5"/>
      <c r="H54" s="5"/>
      <c r="I54" s="5"/>
      <c r="J54" s="5"/>
      <c r="K54" s="2"/>
      <c r="L54" s="2"/>
      <c r="M54" s="2"/>
      <c r="N54" s="2"/>
      <c r="O54" s="2"/>
      <c r="P54" s="2"/>
    </row>
    <row r="55" spans="3:16" ht="20.100000000000001" customHeight="1" x14ac:dyDescent="0.3"/>
    <row r="56" spans="3:16" ht="20.100000000000001" customHeight="1" x14ac:dyDescent="0.3"/>
    <row r="57" spans="3:16" ht="20.100000000000001" customHeight="1" x14ac:dyDescent="0.3"/>
    <row r="58" spans="3:16" ht="20.100000000000001" customHeight="1" x14ac:dyDescent="0.3"/>
    <row r="59" spans="3:16" ht="20.100000000000001" customHeight="1" x14ac:dyDescent="0.3"/>
    <row r="60" spans="3:16" ht="20.100000000000001" customHeight="1" x14ac:dyDescent="0.3"/>
  </sheetData>
  <mergeCells count="12">
    <mergeCell ref="C36:I36"/>
    <mergeCell ref="D9:I9"/>
    <mergeCell ref="D14:I14"/>
    <mergeCell ref="D19:I19"/>
    <mergeCell ref="D25:I25"/>
    <mergeCell ref="D30:I30"/>
    <mergeCell ref="D35:I35"/>
    <mergeCell ref="C20:C30"/>
    <mergeCell ref="C31:C35"/>
    <mergeCell ref="D10:E10"/>
    <mergeCell ref="C4:C14"/>
    <mergeCell ref="C15:C19"/>
  </mergeCells>
  <phoneticPr fontId="1" type="noConversion"/>
  <printOptions horizontalCentered="1" verticalCentered="1"/>
  <pageMargins left="0.39370078740157483" right="0.39370078740157483" top="0.19685039370078741" bottom="0.19685039370078741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60"/>
  <sheetViews>
    <sheetView showGridLines="0" workbookViewId="0">
      <selection activeCell="L23" sqref="L23"/>
    </sheetView>
  </sheetViews>
  <sheetFormatPr defaultRowHeight="16.5" x14ac:dyDescent="0.3"/>
  <cols>
    <col min="1" max="2" width="0.875" customWidth="1"/>
    <col min="3" max="4" width="4.625" customWidth="1"/>
    <col min="5" max="5" width="9.875" customWidth="1"/>
    <col min="6" max="6" width="12.875" customWidth="1"/>
    <col min="7" max="7" width="21.375" customWidth="1"/>
    <col min="8" max="8" width="26.5" customWidth="1"/>
    <col min="9" max="9" width="11.5" customWidth="1"/>
    <col min="10" max="10" width="11.75" customWidth="1"/>
    <col min="11" max="11" width="12.875" customWidth="1"/>
    <col min="13" max="13" width="0.875" customWidth="1"/>
  </cols>
  <sheetData>
    <row r="1" spans="2:18" ht="11.25" customHeight="1" x14ac:dyDescent="0.3"/>
    <row r="2" spans="2:18" ht="24.75" customHeight="1" thickBot="1" x14ac:dyDescent="0.35">
      <c r="B2" s="1" t="s">
        <v>36</v>
      </c>
    </row>
    <row r="3" spans="2:18" ht="18.95" customHeight="1" x14ac:dyDescent="0.3">
      <c r="C3" s="7" t="s">
        <v>44</v>
      </c>
      <c r="D3" s="8" t="s">
        <v>1</v>
      </c>
      <c r="E3" s="8" t="s">
        <v>38</v>
      </c>
      <c r="F3" s="8" t="s">
        <v>2</v>
      </c>
      <c r="G3" s="8" t="s">
        <v>3</v>
      </c>
      <c r="H3" s="8" t="s">
        <v>4</v>
      </c>
      <c r="I3" s="8" t="s">
        <v>43</v>
      </c>
      <c r="J3" s="8" t="s">
        <v>11</v>
      </c>
      <c r="K3" s="9" t="s">
        <v>40</v>
      </c>
      <c r="L3" s="14" t="s">
        <v>5</v>
      </c>
      <c r="M3" s="3"/>
      <c r="N3" s="3"/>
      <c r="O3" s="3"/>
      <c r="P3" s="3"/>
      <c r="Q3" s="2"/>
      <c r="R3" s="2"/>
    </row>
    <row r="4" spans="2:18" ht="15" customHeight="1" x14ac:dyDescent="0.3">
      <c r="C4" s="95" t="s">
        <v>42</v>
      </c>
      <c r="D4" s="98" t="s">
        <v>37</v>
      </c>
      <c r="E4" s="100" t="s">
        <v>45</v>
      </c>
      <c r="F4" s="10"/>
      <c r="G4" s="24"/>
      <c r="H4" s="24"/>
      <c r="I4" s="10"/>
      <c r="J4" s="10"/>
      <c r="K4" s="11"/>
      <c r="L4" s="15"/>
      <c r="M4" s="3"/>
      <c r="N4" s="3"/>
      <c r="O4" s="3"/>
      <c r="P4" s="3"/>
      <c r="Q4" s="2"/>
      <c r="R4" s="2"/>
    </row>
    <row r="5" spans="2:18" ht="15" customHeight="1" x14ac:dyDescent="0.3">
      <c r="C5" s="96"/>
      <c r="D5" s="99"/>
      <c r="E5" s="90"/>
      <c r="F5" s="12"/>
      <c r="G5" s="25"/>
      <c r="H5" s="25"/>
      <c r="I5" s="12"/>
      <c r="J5" s="12"/>
      <c r="K5" s="13"/>
      <c r="L5" s="16"/>
      <c r="M5" s="3"/>
      <c r="N5" s="3"/>
      <c r="O5" s="3"/>
      <c r="P5" s="3"/>
      <c r="Q5" s="2"/>
      <c r="R5" s="2"/>
    </row>
    <row r="6" spans="2:18" ht="15" customHeight="1" x14ac:dyDescent="0.3">
      <c r="C6" s="96"/>
      <c r="D6" s="99"/>
      <c r="E6" s="90"/>
      <c r="F6" s="12"/>
      <c r="G6" s="25"/>
      <c r="H6" s="25"/>
      <c r="I6" s="12"/>
      <c r="J6" s="12"/>
      <c r="K6" s="13"/>
      <c r="L6" s="16"/>
      <c r="M6" s="3"/>
      <c r="N6" s="3"/>
      <c r="O6" s="3"/>
      <c r="P6" s="3"/>
      <c r="Q6" s="2"/>
      <c r="R6" s="2"/>
    </row>
    <row r="7" spans="2:18" ht="15" customHeight="1" x14ac:dyDescent="0.3">
      <c r="C7" s="96"/>
      <c r="D7" s="99"/>
      <c r="E7" s="90"/>
      <c r="F7" s="12"/>
      <c r="G7" s="25"/>
      <c r="H7" s="25"/>
      <c r="I7" s="12"/>
      <c r="J7" s="12"/>
      <c r="K7" s="13"/>
      <c r="L7" s="16"/>
      <c r="M7" s="3"/>
      <c r="N7" s="3"/>
      <c r="O7" s="3"/>
      <c r="P7" s="3"/>
      <c r="Q7" s="2"/>
      <c r="R7" s="2"/>
    </row>
    <row r="8" spans="2:18" ht="15" customHeight="1" x14ac:dyDescent="0.3">
      <c r="C8" s="96"/>
      <c r="D8" s="99"/>
      <c r="E8" s="90"/>
      <c r="F8" s="79" t="s">
        <v>34</v>
      </c>
      <c r="G8" s="80"/>
      <c r="H8" s="80"/>
      <c r="I8" s="80"/>
      <c r="J8" s="80"/>
      <c r="K8" s="81"/>
      <c r="L8" s="17">
        <f>SUM(L4:L7)</f>
        <v>0</v>
      </c>
      <c r="M8" s="3"/>
      <c r="N8" s="3"/>
      <c r="O8" s="3"/>
      <c r="P8" s="3"/>
      <c r="Q8" s="2"/>
      <c r="R8" s="2"/>
    </row>
    <row r="9" spans="2:18" ht="15" customHeight="1" x14ac:dyDescent="0.3">
      <c r="C9" s="96"/>
      <c r="D9" s="99"/>
      <c r="E9" s="89" t="s">
        <v>45</v>
      </c>
      <c r="F9" s="10"/>
      <c r="G9" s="24"/>
      <c r="H9" s="24"/>
      <c r="I9" s="10"/>
      <c r="J9" s="10"/>
      <c r="K9" s="11"/>
      <c r="L9" s="15"/>
      <c r="M9" s="3"/>
      <c r="N9" s="3"/>
      <c r="O9" s="3"/>
      <c r="P9" s="3"/>
      <c r="Q9" s="2"/>
      <c r="R9" s="2"/>
    </row>
    <row r="10" spans="2:18" ht="15" customHeight="1" x14ac:dyDescent="0.3">
      <c r="C10" s="96"/>
      <c r="D10" s="99"/>
      <c r="E10" s="90"/>
      <c r="F10" s="12"/>
      <c r="G10" s="25"/>
      <c r="H10" s="25"/>
      <c r="I10" s="12"/>
      <c r="J10" s="12"/>
      <c r="K10" s="13"/>
      <c r="L10" s="16"/>
      <c r="M10" s="3"/>
      <c r="N10" s="3"/>
      <c r="O10" s="3"/>
      <c r="P10" s="3"/>
      <c r="Q10" s="2"/>
      <c r="R10" s="2"/>
    </row>
    <row r="11" spans="2:18" ht="15" customHeight="1" x14ac:dyDescent="0.3">
      <c r="C11" s="96"/>
      <c r="D11" s="99"/>
      <c r="E11" s="90"/>
      <c r="F11" s="12"/>
      <c r="G11" s="25"/>
      <c r="H11" s="25"/>
      <c r="I11" s="12"/>
      <c r="J11" s="12"/>
      <c r="K11" s="13"/>
      <c r="L11" s="16"/>
      <c r="M11" s="3"/>
      <c r="N11" s="3"/>
      <c r="O11" s="3"/>
      <c r="P11" s="3"/>
      <c r="Q11" s="2"/>
      <c r="R11" s="2"/>
    </row>
    <row r="12" spans="2:18" ht="15" customHeight="1" x14ac:dyDescent="0.3">
      <c r="C12" s="96"/>
      <c r="D12" s="99"/>
      <c r="E12" s="90"/>
      <c r="F12" s="12"/>
      <c r="G12" s="25"/>
      <c r="H12" s="25"/>
      <c r="I12" s="12"/>
      <c r="J12" s="12"/>
      <c r="K12" s="13"/>
      <c r="L12" s="16"/>
      <c r="M12" s="3"/>
      <c r="N12" s="3"/>
      <c r="O12" s="3"/>
      <c r="P12" s="3"/>
      <c r="Q12" s="2"/>
      <c r="R12" s="2"/>
    </row>
    <row r="13" spans="2:18" ht="15" customHeight="1" x14ac:dyDescent="0.3">
      <c r="C13" s="96"/>
      <c r="D13" s="99"/>
      <c r="E13" s="91"/>
      <c r="F13" s="79" t="s">
        <v>34</v>
      </c>
      <c r="G13" s="80"/>
      <c r="H13" s="80"/>
      <c r="I13" s="80"/>
      <c r="J13" s="80"/>
      <c r="K13" s="81"/>
      <c r="L13" s="17">
        <f>SUM(L9:L12)</f>
        <v>0</v>
      </c>
      <c r="M13" s="3"/>
      <c r="N13" s="3"/>
      <c r="O13" s="3"/>
      <c r="P13" s="3"/>
      <c r="Q13" s="2"/>
      <c r="R13" s="2"/>
    </row>
    <row r="14" spans="2:18" ht="15" customHeight="1" x14ac:dyDescent="0.3">
      <c r="C14" s="96"/>
      <c r="D14" s="99"/>
      <c r="E14" s="89" t="s">
        <v>45</v>
      </c>
      <c r="F14" s="10"/>
      <c r="G14" s="24"/>
      <c r="H14" s="24"/>
      <c r="I14" s="10"/>
      <c r="J14" s="10"/>
      <c r="K14" s="11"/>
      <c r="L14" s="15"/>
      <c r="M14" s="3"/>
      <c r="N14" s="3"/>
      <c r="O14" s="3"/>
      <c r="P14" s="3"/>
      <c r="Q14" s="2"/>
      <c r="R14" s="2"/>
    </row>
    <row r="15" spans="2:18" ht="15" customHeight="1" x14ac:dyDescent="0.3">
      <c r="C15" s="96"/>
      <c r="D15" s="99"/>
      <c r="E15" s="90"/>
      <c r="F15" s="12"/>
      <c r="G15" s="25"/>
      <c r="H15" s="25"/>
      <c r="I15" s="12"/>
      <c r="J15" s="12"/>
      <c r="K15" s="13"/>
      <c r="L15" s="16"/>
      <c r="M15" s="3"/>
      <c r="N15" s="3"/>
      <c r="O15" s="3"/>
      <c r="P15" s="3"/>
      <c r="Q15" s="2"/>
      <c r="R15" s="2"/>
    </row>
    <row r="16" spans="2:18" ht="15" customHeight="1" x14ac:dyDescent="0.3">
      <c r="C16" s="96"/>
      <c r="D16" s="99"/>
      <c r="E16" s="90"/>
      <c r="F16" s="12"/>
      <c r="G16" s="25"/>
      <c r="H16" s="25"/>
      <c r="I16" s="12"/>
      <c r="J16" s="12"/>
      <c r="K16" s="13"/>
      <c r="L16" s="16"/>
      <c r="M16" s="3"/>
      <c r="N16" s="3"/>
      <c r="O16" s="3"/>
      <c r="P16" s="3"/>
      <c r="Q16" s="2"/>
      <c r="R16" s="2"/>
    </row>
    <row r="17" spans="3:18" ht="15" customHeight="1" x14ac:dyDescent="0.3">
      <c r="C17" s="96"/>
      <c r="D17" s="99"/>
      <c r="E17" s="90"/>
      <c r="F17" s="12"/>
      <c r="G17" s="25"/>
      <c r="H17" s="25"/>
      <c r="I17" s="12"/>
      <c r="J17" s="12"/>
      <c r="K17" s="13"/>
      <c r="L17" s="16"/>
      <c r="M17" s="3"/>
      <c r="N17" s="3"/>
      <c r="O17" s="3"/>
      <c r="P17" s="3"/>
      <c r="Q17" s="2"/>
      <c r="R17" s="2"/>
    </row>
    <row r="18" spans="3:18" ht="15" customHeight="1" x14ac:dyDescent="0.3">
      <c r="C18" s="96"/>
      <c r="D18" s="99"/>
      <c r="E18" s="91"/>
      <c r="F18" s="79" t="s">
        <v>34</v>
      </c>
      <c r="G18" s="80"/>
      <c r="H18" s="80"/>
      <c r="I18" s="80"/>
      <c r="J18" s="80"/>
      <c r="K18" s="81"/>
      <c r="L18" s="17">
        <f>SUM(L14:L17)</f>
        <v>0</v>
      </c>
      <c r="M18" s="3"/>
      <c r="N18" s="3"/>
      <c r="O18" s="3"/>
      <c r="P18" s="3"/>
      <c r="Q18" s="2"/>
      <c r="R18" s="2"/>
    </row>
    <row r="19" spans="3:18" ht="15" customHeight="1" x14ac:dyDescent="0.3">
      <c r="C19" s="96"/>
      <c r="D19" s="99"/>
      <c r="E19" s="101" t="s">
        <v>46</v>
      </c>
      <c r="F19" s="102"/>
      <c r="G19" s="102"/>
      <c r="H19" s="102"/>
      <c r="I19" s="102"/>
      <c r="J19" s="102"/>
      <c r="K19" s="103"/>
      <c r="L19" s="22">
        <f>+L8+L13+L18</f>
        <v>0</v>
      </c>
      <c r="M19" s="3"/>
      <c r="N19" s="3"/>
      <c r="O19" s="3"/>
      <c r="P19" s="3"/>
      <c r="Q19" s="2"/>
      <c r="R19" s="2"/>
    </row>
    <row r="20" spans="3:18" ht="15" customHeight="1" x14ac:dyDescent="0.3">
      <c r="C20" s="96"/>
      <c r="D20" s="104" t="s">
        <v>47</v>
      </c>
      <c r="E20" s="89" t="s">
        <v>45</v>
      </c>
      <c r="F20" s="12"/>
      <c r="G20" s="25"/>
      <c r="H20" s="25"/>
      <c r="I20" s="12"/>
      <c r="J20" s="12"/>
      <c r="K20" s="20"/>
      <c r="L20" s="15"/>
      <c r="M20" s="3"/>
      <c r="N20" s="3"/>
      <c r="O20" s="3"/>
      <c r="P20" s="3"/>
      <c r="Q20" s="2"/>
      <c r="R20" s="2"/>
    </row>
    <row r="21" spans="3:18" ht="15" customHeight="1" x14ac:dyDescent="0.3">
      <c r="C21" s="96"/>
      <c r="D21" s="99"/>
      <c r="E21" s="90"/>
      <c r="F21" s="12"/>
      <c r="G21" s="25"/>
      <c r="H21" s="25"/>
      <c r="I21" s="12"/>
      <c r="J21" s="12"/>
      <c r="K21" s="20"/>
      <c r="L21" s="16"/>
      <c r="M21" s="3"/>
      <c r="N21" s="3"/>
      <c r="O21" s="3"/>
      <c r="P21" s="3"/>
      <c r="Q21" s="2"/>
      <c r="R21" s="2"/>
    </row>
    <row r="22" spans="3:18" ht="15" customHeight="1" x14ac:dyDescent="0.3">
      <c r="C22" s="96"/>
      <c r="D22" s="99"/>
      <c r="E22" s="90"/>
      <c r="F22" s="12"/>
      <c r="G22" s="25"/>
      <c r="H22" s="25"/>
      <c r="I22" s="12"/>
      <c r="J22" s="12"/>
      <c r="K22" s="20"/>
      <c r="L22" s="16"/>
      <c r="M22" s="3"/>
      <c r="N22" s="3"/>
      <c r="O22" s="3"/>
      <c r="P22" s="3"/>
      <c r="Q22" s="2"/>
      <c r="R22" s="2"/>
    </row>
    <row r="23" spans="3:18" ht="15" customHeight="1" x14ac:dyDescent="0.3">
      <c r="C23" s="96"/>
      <c r="D23" s="99"/>
      <c r="E23" s="90"/>
      <c r="F23" s="79" t="s">
        <v>34</v>
      </c>
      <c r="G23" s="80"/>
      <c r="H23" s="80"/>
      <c r="I23" s="80"/>
      <c r="J23" s="80"/>
      <c r="K23" s="81"/>
      <c r="L23" s="17">
        <f>SUM(L20:L22)</f>
        <v>0</v>
      </c>
      <c r="M23" s="3"/>
      <c r="N23" s="3"/>
      <c r="O23" s="3"/>
      <c r="P23" s="3"/>
      <c r="Q23" s="2"/>
      <c r="R23" s="2"/>
    </row>
    <row r="24" spans="3:18" ht="15" customHeight="1" x14ac:dyDescent="0.3">
      <c r="C24" s="96"/>
      <c r="D24" s="99"/>
      <c r="E24" s="89" t="s">
        <v>45</v>
      </c>
      <c r="F24" s="10"/>
      <c r="G24" s="24"/>
      <c r="H24" s="24"/>
      <c r="I24" s="10"/>
      <c r="J24" s="10"/>
      <c r="K24" s="21"/>
      <c r="L24" s="15"/>
      <c r="M24" s="3"/>
      <c r="N24" s="3"/>
      <c r="O24" s="3"/>
      <c r="P24" s="3"/>
      <c r="Q24" s="2"/>
      <c r="R24" s="2"/>
    </row>
    <row r="25" spans="3:18" ht="15" customHeight="1" x14ac:dyDescent="0.3">
      <c r="C25" s="96"/>
      <c r="D25" s="99"/>
      <c r="E25" s="90"/>
      <c r="F25" s="12"/>
      <c r="G25" s="25"/>
      <c r="H25" s="25"/>
      <c r="I25" s="12"/>
      <c r="J25" s="12"/>
      <c r="K25" s="20"/>
      <c r="L25" s="16"/>
      <c r="M25" s="3"/>
      <c r="N25" s="3"/>
      <c r="O25" s="3"/>
      <c r="P25" s="3"/>
      <c r="Q25" s="2"/>
      <c r="R25" s="2"/>
    </row>
    <row r="26" spans="3:18" ht="15" customHeight="1" x14ac:dyDescent="0.3">
      <c r="C26" s="96"/>
      <c r="D26" s="99"/>
      <c r="E26" s="90"/>
      <c r="F26" s="12"/>
      <c r="G26" s="25"/>
      <c r="H26" s="25"/>
      <c r="I26" s="12"/>
      <c r="J26" s="12"/>
      <c r="K26" s="20"/>
      <c r="L26" s="16"/>
      <c r="M26" s="3"/>
      <c r="N26" s="3"/>
      <c r="O26" s="3"/>
      <c r="P26" s="3"/>
      <c r="Q26" s="2"/>
      <c r="R26" s="2"/>
    </row>
    <row r="27" spans="3:18" ht="15" customHeight="1" x14ac:dyDescent="0.3">
      <c r="C27" s="96"/>
      <c r="D27" s="99"/>
      <c r="E27" s="91"/>
      <c r="F27" s="79" t="s">
        <v>34</v>
      </c>
      <c r="G27" s="80"/>
      <c r="H27" s="80"/>
      <c r="I27" s="80"/>
      <c r="J27" s="80"/>
      <c r="K27" s="81"/>
      <c r="L27" s="17">
        <f>SUM(L24:L26)</f>
        <v>0</v>
      </c>
      <c r="M27" s="3"/>
      <c r="N27" s="3"/>
      <c r="O27" s="3"/>
      <c r="P27" s="3"/>
      <c r="Q27" s="2"/>
      <c r="R27" s="2"/>
    </row>
    <row r="28" spans="3:18" ht="15" customHeight="1" x14ac:dyDescent="0.3">
      <c r="C28" s="96"/>
      <c r="D28" s="99"/>
      <c r="E28" s="89" t="s">
        <v>45</v>
      </c>
      <c r="F28" s="10"/>
      <c r="G28" s="24"/>
      <c r="H28" s="24"/>
      <c r="I28" s="10"/>
      <c r="J28" s="10"/>
      <c r="K28" s="21"/>
      <c r="L28" s="15"/>
      <c r="M28" s="3"/>
      <c r="N28" s="3"/>
      <c r="O28" s="3"/>
      <c r="P28" s="3"/>
      <c r="Q28" s="2"/>
      <c r="R28" s="2"/>
    </row>
    <row r="29" spans="3:18" ht="15" customHeight="1" x14ac:dyDescent="0.3">
      <c r="C29" s="96"/>
      <c r="D29" s="99"/>
      <c r="E29" s="90"/>
      <c r="F29" s="12"/>
      <c r="G29" s="25"/>
      <c r="H29" s="25"/>
      <c r="I29" s="12"/>
      <c r="J29" s="12"/>
      <c r="K29" s="20"/>
      <c r="L29" s="16"/>
      <c r="M29" s="3"/>
      <c r="N29" s="3"/>
      <c r="O29" s="3"/>
      <c r="P29" s="3"/>
      <c r="Q29" s="2"/>
      <c r="R29" s="2"/>
    </row>
    <row r="30" spans="3:18" ht="15" customHeight="1" x14ac:dyDescent="0.3">
      <c r="C30" s="96"/>
      <c r="D30" s="99"/>
      <c r="E30" s="90"/>
      <c r="F30" s="12"/>
      <c r="G30" s="25"/>
      <c r="H30" s="25"/>
      <c r="I30" s="12"/>
      <c r="J30" s="12"/>
      <c r="K30" s="20"/>
      <c r="L30" s="16"/>
      <c r="M30" s="3"/>
      <c r="N30" s="3"/>
      <c r="O30" s="3"/>
      <c r="P30" s="3"/>
      <c r="Q30" s="2"/>
      <c r="R30" s="2"/>
    </row>
    <row r="31" spans="3:18" ht="15" customHeight="1" x14ac:dyDescent="0.3">
      <c r="C31" s="96"/>
      <c r="D31" s="99"/>
      <c r="E31" s="91"/>
      <c r="F31" s="79" t="s">
        <v>34</v>
      </c>
      <c r="G31" s="80"/>
      <c r="H31" s="80"/>
      <c r="I31" s="80"/>
      <c r="J31" s="80"/>
      <c r="K31" s="81"/>
      <c r="L31" s="17">
        <f>SUM(L28:L30)</f>
        <v>0</v>
      </c>
      <c r="M31" s="3"/>
      <c r="N31" s="3"/>
      <c r="O31" s="3"/>
      <c r="P31" s="3"/>
      <c r="Q31" s="2"/>
      <c r="R31" s="2"/>
    </row>
    <row r="32" spans="3:18" ht="15" customHeight="1" x14ac:dyDescent="0.3">
      <c r="C32" s="96"/>
      <c r="D32" s="109"/>
      <c r="E32" s="92" t="s">
        <v>46</v>
      </c>
      <c r="F32" s="93"/>
      <c r="G32" s="93"/>
      <c r="H32" s="93"/>
      <c r="I32" s="93"/>
      <c r="J32" s="93"/>
      <c r="K32" s="94"/>
      <c r="L32" s="22">
        <f>+L23+L27+L31</f>
        <v>0</v>
      </c>
      <c r="M32" s="3"/>
      <c r="N32" s="3"/>
      <c r="O32" s="3"/>
      <c r="P32" s="3"/>
      <c r="Q32" s="2"/>
      <c r="R32" s="2"/>
    </row>
    <row r="33" spans="3:18" ht="15" customHeight="1" x14ac:dyDescent="0.3">
      <c r="C33" s="96"/>
      <c r="D33" s="104" t="s">
        <v>48</v>
      </c>
      <c r="E33" s="12" t="s">
        <v>45</v>
      </c>
      <c r="F33" s="12"/>
      <c r="G33" s="25"/>
      <c r="H33" s="25"/>
      <c r="I33" s="12"/>
      <c r="J33" s="12"/>
      <c r="K33" s="20"/>
      <c r="L33" s="15"/>
      <c r="M33" s="3"/>
      <c r="N33" s="3"/>
      <c r="O33" s="3"/>
      <c r="P33" s="3"/>
      <c r="Q33" s="2"/>
      <c r="R33" s="2"/>
    </row>
    <row r="34" spans="3:18" ht="15" customHeight="1" x14ac:dyDescent="0.3">
      <c r="C34" s="96"/>
      <c r="D34" s="99"/>
      <c r="E34" s="12"/>
      <c r="F34" s="12"/>
      <c r="G34" s="25"/>
      <c r="H34" s="25"/>
      <c r="I34" s="12"/>
      <c r="J34" s="12"/>
      <c r="K34" s="20"/>
      <c r="L34" s="16"/>
      <c r="M34" s="3"/>
      <c r="N34" s="3"/>
      <c r="O34" s="3"/>
      <c r="P34" s="3"/>
      <c r="Q34" s="2"/>
      <c r="R34" s="2"/>
    </row>
    <row r="35" spans="3:18" ht="15" customHeight="1" x14ac:dyDescent="0.3">
      <c r="C35" s="96"/>
      <c r="D35" s="99"/>
      <c r="E35" s="12"/>
      <c r="F35" s="12"/>
      <c r="G35" s="25"/>
      <c r="H35" s="25"/>
      <c r="I35" s="12"/>
      <c r="J35" s="12"/>
      <c r="K35" s="20"/>
      <c r="L35" s="16"/>
      <c r="M35" s="3"/>
      <c r="N35" s="3"/>
      <c r="O35" s="3"/>
      <c r="P35" s="3"/>
      <c r="Q35" s="2"/>
      <c r="R35" s="2"/>
    </row>
    <row r="36" spans="3:18" ht="15" customHeight="1" thickBot="1" x14ac:dyDescent="0.35">
      <c r="C36" s="97"/>
      <c r="D36" s="105"/>
      <c r="E36" s="106" t="s">
        <v>46</v>
      </c>
      <c r="F36" s="107"/>
      <c r="G36" s="107"/>
      <c r="H36" s="107"/>
      <c r="I36" s="107"/>
      <c r="J36" s="107"/>
      <c r="K36" s="108"/>
      <c r="L36" s="23">
        <f>SUM(L33:L35)</f>
        <v>0</v>
      </c>
      <c r="M36" s="3"/>
      <c r="N36" s="3"/>
      <c r="O36" s="3"/>
      <c r="P36" s="3"/>
      <c r="Q36" s="2"/>
      <c r="R36" s="2"/>
    </row>
    <row r="37" spans="3:18" ht="20.100000000000001" customHeight="1" x14ac:dyDescent="0.3">
      <c r="C37" s="3"/>
      <c r="D37" s="6"/>
      <c r="E37" s="6"/>
      <c r="F37" s="6"/>
      <c r="G37" s="6"/>
      <c r="H37" s="6"/>
      <c r="I37" s="6"/>
      <c r="J37" s="6"/>
      <c r="K37" s="6"/>
      <c r="L37" s="6"/>
      <c r="M37" s="3"/>
      <c r="N37" s="3"/>
      <c r="O37" s="3"/>
      <c r="P37" s="3"/>
      <c r="Q37" s="2"/>
      <c r="R37" s="2"/>
    </row>
    <row r="38" spans="3:18" ht="20.100000000000001" customHeight="1" x14ac:dyDescent="0.3">
      <c r="C38" s="3"/>
      <c r="D38" s="6"/>
      <c r="E38" s="6"/>
      <c r="F38" s="6"/>
      <c r="G38" s="6"/>
      <c r="H38" s="6"/>
      <c r="I38" s="6"/>
      <c r="J38" s="6"/>
      <c r="K38" s="6"/>
      <c r="L38" s="6"/>
      <c r="M38" s="3"/>
      <c r="N38" s="3"/>
      <c r="O38" s="3"/>
      <c r="P38" s="3"/>
      <c r="Q38" s="2"/>
      <c r="R38" s="2"/>
    </row>
    <row r="39" spans="3:18" ht="20.100000000000001" customHeight="1" x14ac:dyDescent="0.3">
      <c r="C39" s="3"/>
      <c r="D39" s="6"/>
      <c r="E39" s="6"/>
      <c r="F39" s="6"/>
      <c r="G39" s="6"/>
      <c r="H39" s="6"/>
      <c r="I39" s="6"/>
      <c r="J39" s="6"/>
      <c r="K39" s="6"/>
      <c r="L39" s="6"/>
      <c r="M39" s="3"/>
      <c r="N39" s="3"/>
      <c r="O39" s="3"/>
      <c r="P39" s="3"/>
      <c r="Q39" s="2"/>
      <c r="R39" s="2"/>
    </row>
    <row r="40" spans="3:18" ht="20.100000000000001" customHeight="1" x14ac:dyDescent="0.3">
      <c r="C40" s="3"/>
      <c r="D40" s="6"/>
      <c r="E40" s="6"/>
      <c r="F40" s="6"/>
      <c r="G40" s="6"/>
      <c r="H40" s="6"/>
      <c r="I40" s="6"/>
      <c r="J40" s="6"/>
      <c r="K40" s="6"/>
      <c r="L40" s="6"/>
      <c r="M40" s="3"/>
      <c r="N40" s="3"/>
      <c r="O40" s="3"/>
      <c r="P40" s="3"/>
      <c r="Q40" s="2"/>
      <c r="R40" s="2"/>
    </row>
    <row r="41" spans="3:18" ht="20.100000000000001" customHeight="1" x14ac:dyDescent="0.3">
      <c r="C41" s="3"/>
      <c r="D41" s="6"/>
      <c r="E41" s="6"/>
      <c r="F41" s="6"/>
      <c r="G41" s="6"/>
      <c r="H41" s="6"/>
      <c r="I41" s="6"/>
      <c r="J41" s="6"/>
      <c r="K41" s="6"/>
      <c r="L41" s="6"/>
      <c r="M41" s="3"/>
      <c r="N41" s="3"/>
      <c r="O41" s="3"/>
      <c r="P41" s="3"/>
      <c r="Q41" s="2"/>
      <c r="R41" s="2"/>
    </row>
    <row r="42" spans="3:18" ht="20.100000000000001" customHeight="1" x14ac:dyDescent="0.3">
      <c r="C42" s="3"/>
      <c r="D42" s="6"/>
      <c r="E42" s="6"/>
      <c r="F42" s="6"/>
      <c r="G42" s="6"/>
      <c r="H42" s="6"/>
      <c r="I42" s="6"/>
      <c r="J42" s="6"/>
      <c r="K42" s="6"/>
      <c r="L42" s="6"/>
      <c r="M42" s="3"/>
      <c r="N42" s="3"/>
      <c r="O42" s="3"/>
      <c r="P42" s="3"/>
      <c r="Q42" s="2"/>
      <c r="R42" s="2"/>
    </row>
    <row r="43" spans="3:18" ht="20.100000000000001" customHeight="1" x14ac:dyDescent="0.3">
      <c r="C43" s="3"/>
      <c r="D43" s="6"/>
      <c r="E43" s="6"/>
      <c r="F43" s="6"/>
      <c r="G43" s="6"/>
      <c r="H43" s="6"/>
      <c r="I43" s="6"/>
      <c r="J43" s="6"/>
      <c r="K43" s="6"/>
      <c r="L43" s="6"/>
      <c r="M43" s="3"/>
      <c r="N43" s="3"/>
      <c r="O43" s="3"/>
      <c r="P43" s="3"/>
      <c r="Q43" s="2"/>
      <c r="R43" s="2"/>
    </row>
    <row r="44" spans="3:18" ht="20.100000000000001" customHeight="1" x14ac:dyDescent="0.3">
      <c r="C44" s="3"/>
      <c r="D44" s="6"/>
      <c r="E44" s="6"/>
      <c r="F44" s="6"/>
      <c r="G44" s="6"/>
      <c r="H44" s="6"/>
      <c r="I44" s="6"/>
      <c r="J44" s="6"/>
      <c r="K44" s="6"/>
      <c r="L44" s="6"/>
      <c r="M44" s="3"/>
      <c r="N44" s="3"/>
      <c r="O44" s="3"/>
      <c r="P44" s="3"/>
      <c r="Q44" s="2"/>
      <c r="R44" s="2"/>
    </row>
    <row r="45" spans="3:18" ht="20.100000000000001" customHeight="1" x14ac:dyDescent="0.3">
      <c r="C45" s="3"/>
      <c r="D45" s="6"/>
      <c r="E45" s="6"/>
      <c r="F45" s="6"/>
      <c r="G45" s="6"/>
      <c r="H45" s="6"/>
      <c r="I45" s="6"/>
      <c r="J45" s="6"/>
      <c r="K45" s="6"/>
      <c r="L45" s="6"/>
      <c r="M45" s="3"/>
      <c r="N45" s="3"/>
      <c r="O45" s="3"/>
      <c r="P45" s="3"/>
      <c r="Q45" s="2"/>
      <c r="R45" s="2"/>
    </row>
    <row r="46" spans="3:18" ht="20.100000000000001" customHeight="1" x14ac:dyDescent="0.3">
      <c r="C46" s="3"/>
      <c r="D46" s="3"/>
      <c r="E46" s="3"/>
      <c r="F46" s="3"/>
      <c r="G46" s="6"/>
      <c r="H46" s="6"/>
      <c r="I46" s="6"/>
      <c r="J46" s="6"/>
      <c r="K46" s="6"/>
      <c r="L46" s="6"/>
      <c r="M46" s="3"/>
      <c r="N46" s="3"/>
      <c r="O46" s="3"/>
      <c r="P46" s="3"/>
      <c r="Q46" s="2"/>
      <c r="R46" s="2"/>
    </row>
    <row r="47" spans="3:18" ht="20.100000000000001" customHeight="1" x14ac:dyDescent="0.3">
      <c r="C47" s="3"/>
      <c r="D47" s="3"/>
      <c r="E47" s="3"/>
      <c r="F47" s="3"/>
      <c r="G47" s="6"/>
      <c r="H47" s="6"/>
      <c r="I47" s="6"/>
      <c r="J47" s="6"/>
      <c r="K47" s="6"/>
      <c r="L47" s="6"/>
      <c r="M47" s="3"/>
      <c r="N47" s="3"/>
      <c r="O47" s="3"/>
      <c r="P47" s="3"/>
      <c r="Q47" s="2"/>
      <c r="R47" s="2"/>
    </row>
    <row r="48" spans="3:18" ht="20.100000000000001" customHeight="1" x14ac:dyDescent="0.3">
      <c r="C48" s="3"/>
      <c r="D48" s="3"/>
      <c r="E48" s="3"/>
      <c r="F48" s="3"/>
      <c r="G48" s="6"/>
      <c r="H48" s="6"/>
      <c r="I48" s="6"/>
      <c r="J48" s="6"/>
      <c r="K48" s="6"/>
      <c r="L48" s="6"/>
      <c r="M48" s="3"/>
      <c r="N48" s="3"/>
      <c r="O48" s="3"/>
      <c r="P48" s="3"/>
      <c r="Q48" s="2"/>
      <c r="R48" s="2"/>
    </row>
    <row r="49" spans="3:18" ht="20.100000000000001" customHeight="1" x14ac:dyDescent="0.3">
      <c r="C49" s="3"/>
      <c r="D49" s="3"/>
      <c r="E49" s="3"/>
      <c r="F49" s="3"/>
      <c r="G49" s="6"/>
      <c r="H49" s="6"/>
      <c r="I49" s="6"/>
      <c r="J49" s="6"/>
      <c r="K49" s="6"/>
      <c r="L49" s="6"/>
      <c r="M49" s="3"/>
      <c r="N49" s="3"/>
      <c r="O49" s="3"/>
      <c r="P49" s="3"/>
      <c r="Q49" s="2"/>
      <c r="R49" s="2"/>
    </row>
    <row r="50" spans="3:18" ht="20.100000000000001" customHeight="1" x14ac:dyDescent="0.3">
      <c r="C50" s="3"/>
      <c r="D50" s="3"/>
      <c r="E50" s="3"/>
      <c r="F50" s="3"/>
      <c r="G50" s="6"/>
      <c r="H50" s="6"/>
      <c r="I50" s="6"/>
      <c r="J50" s="6"/>
      <c r="K50" s="6"/>
      <c r="L50" s="6"/>
      <c r="M50" s="3"/>
      <c r="N50" s="3"/>
      <c r="O50" s="3"/>
      <c r="P50" s="3"/>
      <c r="Q50" s="2"/>
      <c r="R50" s="2"/>
    </row>
    <row r="51" spans="3:18" ht="20.100000000000001" customHeight="1" x14ac:dyDescent="0.3">
      <c r="C51" s="3"/>
      <c r="D51" s="3"/>
      <c r="E51" s="3"/>
      <c r="F51" s="3"/>
      <c r="G51" s="6"/>
      <c r="H51" s="6"/>
      <c r="I51" s="6"/>
      <c r="J51" s="6"/>
      <c r="K51" s="6"/>
      <c r="L51" s="6"/>
      <c r="M51" s="3"/>
      <c r="N51" s="3"/>
      <c r="O51" s="3"/>
      <c r="P51" s="3"/>
      <c r="Q51" s="2"/>
      <c r="R51" s="2"/>
    </row>
    <row r="52" spans="3:18" ht="20.100000000000001" customHeight="1" x14ac:dyDescent="0.3">
      <c r="C52" s="3"/>
      <c r="D52" s="3"/>
      <c r="E52" s="3"/>
      <c r="F52" s="3"/>
      <c r="G52" s="6"/>
      <c r="H52" s="6"/>
      <c r="I52" s="6"/>
      <c r="J52" s="6"/>
      <c r="K52" s="6"/>
      <c r="L52" s="6"/>
      <c r="M52" s="3"/>
      <c r="N52" s="3"/>
      <c r="O52" s="3"/>
      <c r="P52" s="3"/>
      <c r="Q52" s="2"/>
      <c r="R52" s="2"/>
    </row>
    <row r="53" spans="3:18" ht="20.100000000000001" customHeight="1" x14ac:dyDescent="0.3">
      <c r="C53" s="3"/>
      <c r="D53" s="3"/>
      <c r="E53" s="3"/>
      <c r="F53" s="3"/>
      <c r="G53" s="6"/>
      <c r="H53" s="6"/>
      <c r="I53" s="6"/>
      <c r="J53" s="6"/>
      <c r="K53" s="6"/>
      <c r="L53" s="6"/>
      <c r="M53" s="3"/>
      <c r="N53" s="3"/>
      <c r="O53" s="3"/>
      <c r="P53" s="3"/>
      <c r="Q53" s="2"/>
      <c r="R53" s="2"/>
    </row>
    <row r="54" spans="3:18" ht="20.100000000000001" customHeight="1" x14ac:dyDescent="0.3">
      <c r="C54" s="2"/>
      <c r="D54" s="2"/>
      <c r="E54" s="2"/>
      <c r="F54" s="2"/>
      <c r="G54" s="5"/>
      <c r="H54" s="5"/>
      <c r="I54" s="5"/>
      <c r="J54" s="5"/>
      <c r="K54" s="5"/>
      <c r="L54" s="5"/>
      <c r="M54" s="2"/>
      <c r="N54" s="2"/>
      <c r="O54" s="2"/>
      <c r="P54" s="2"/>
      <c r="Q54" s="2"/>
      <c r="R54" s="2"/>
    </row>
    <row r="55" spans="3:18" ht="20.100000000000001" customHeight="1" x14ac:dyDescent="0.3"/>
    <row r="56" spans="3:18" ht="20.100000000000001" customHeight="1" x14ac:dyDescent="0.3"/>
    <row r="57" spans="3:18" ht="20.100000000000001" customHeight="1" x14ac:dyDescent="0.3"/>
    <row r="58" spans="3:18" ht="20.100000000000001" customHeight="1" x14ac:dyDescent="0.3"/>
    <row r="59" spans="3:18" ht="20.100000000000001" customHeight="1" x14ac:dyDescent="0.3"/>
    <row r="60" spans="3:18" ht="20.100000000000001" customHeight="1" x14ac:dyDescent="0.3"/>
  </sheetData>
  <mergeCells count="19">
    <mergeCell ref="D20:D32"/>
    <mergeCell ref="E20:E23"/>
    <mergeCell ref="F23:K23"/>
    <mergeCell ref="E24:E27"/>
    <mergeCell ref="F27:K27"/>
    <mergeCell ref="E32:K32"/>
    <mergeCell ref="C4:C36"/>
    <mergeCell ref="D4:D19"/>
    <mergeCell ref="E4:E8"/>
    <mergeCell ref="F8:K8"/>
    <mergeCell ref="E14:E18"/>
    <mergeCell ref="F18:K18"/>
    <mergeCell ref="E19:K19"/>
    <mergeCell ref="E9:E13"/>
    <mergeCell ref="F13:K13"/>
    <mergeCell ref="E28:E31"/>
    <mergeCell ref="F31:K31"/>
    <mergeCell ref="D33:D36"/>
    <mergeCell ref="E36:K36"/>
  </mergeCells>
  <phoneticPr fontId="1" type="noConversion"/>
  <printOptions horizontalCentered="1" verticalCentered="1"/>
  <pageMargins left="0.39370078740157483" right="0.39370078740157483" top="0.19685039370078741" bottom="0.19685039370078741" header="0" footer="0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7"/>
  <sheetViews>
    <sheetView showGridLines="0" tabSelected="1" zoomScaleNormal="100" workbookViewId="0">
      <selection activeCell="I9" sqref="I9"/>
    </sheetView>
  </sheetViews>
  <sheetFormatPr defaultRowHeight="16.5" x14ac:dyDescent="0.3"/>
  <cols>
    <col min="1" max="2" width="0.875" customWidth="1"/>
    <col min="3" max="4" width="4.625" customWidth="1"/>
    <col min="5" max="5" width="9.875" customWidth="1"/>
    <col min="6" max="6" width="9.625" customWidth="1"/>
    <col min="7" max="7" width="40" customWidth="1"/>
    <col min="8" max="8" width="16.125" style="44" customWidth="1"/>
    <col min="9" max="9" width="11.75" style="34" customWidth="1"/>
    <col min="10" max="10" width="19.5" style="34" customWidth="1"/>
    <col min="11" max="11" width="9.375" style="34" bestFit="1" customWidth="1"/>
    <col min="12" max="12" width="0.875" customWidth="1"/>
  </cols>
  <sheetData>
    <row r="1" spans="1:15" ht="11.25" customHeight="1" x14ac:dyDescent="0.3"/>
    <row r="2" spans="1:15" ht="24.75" customHeight="1" thickBot="1" x14ac:dyDescent="0.35">
      <c r="B2" s="1" t="s">
        <v>68</v>
      </c>
    </row>
    <row r="3" spans="1:15" ht="18.95" customHeight="1" x14ac:dyDescent="0.3">
      <c r="C3" s="7" t="s">
        <v>44</v>
      </c>
      <c r="D3" s="8" t="s">
        <v>1</v>
      </c>
      <c r="E3" s="8" t="s">
        <v>66</v>
      </c>
      <c r="F3" s="8" t="s">
        <v>2</v>
      </c>
      <c r="G3" s="8" t="s">
        <v>3</v>
      </c>
      <c r="H3" s="45" t="s">
        <v>4</v>
      </c>
      <c r="I3" s="35" t="s">
        <v>11</v>
      </c>
      <c r="J3" s="9" t="s">
        <v>40</v>
      </c>
      <c r="K3" s="14" t="s">
        <v>5</v>
      </c>
      <c r="L3" s="3"/>
      <c r="M3" s="3"/>
      <c r="N3" s="2"/>
      <c r="O3" s="2"/>
    </row>
    <row r="4" spans="1:15" s="49" customFormat="1" ht="15" customHeight="1" x14ac:dyDescent="0.3">
      <c r="C4" s="39"/>
      <c r="D4" s="113"/>
      <c r="E4" s="53" t="s">
        <v>189</v>
      </c>
      <c r="F4" s="54" t="s">
        <v>121</v>
      </c>
      <c r="G4" s="56" t="s">
        <v>150</v>
      </c>
      <c r="H4" s="56" t="s">
        <v>122</v>
      </c>
      <c r="I4" s="40" t="s">
        <v>232</v>
      </c>
      <c r="J4" s="67" t="s">
        <v>236</v>
      </c>
      <c r="K4" s="59">
        <v>1980000</v>
      </c>
      <c r="L4" s="50"/>
      <c r="M4" s="50"/>
      <c r="N4" s="51"/>
      <c r="O4" s="51"/>
    </row>
    <row r="5" spans="1:15" s="49" customFormat="1" ht="15" customHeight="1" x14ac:dyDescent="0.3">
      <c r="C5" s="39"/>
      <c r="D5" s="113"/>
      <c r="E5" s="53" t="s">
        <v>189</v>
      </c>
      <c r="F5" s="54" t="s">
        <v>121</v>
      </c>
      <c r="G5" s="56" t="s">
        <v>151</v>
      </c>
      <c r="H5" s="52" t="s">
        <v>128</v>
      </c>
      <c r="I5" s="40" t="s">
        <v>232</v>
      </c>
      <c r="J5" s="67" t="s">
        <v>236</v>
      </c>
      <c r="K5" s="59">
        <v>11690250</v>
      </c>
      <c r="L5" s="50"/>
      <c r="M5" s="50"/>
      <c r="N5" s="51"/>
      <c r="O5" s="51"/>
    </row>
    <row r="6" spans="1:15" s="49" customFormat="1" ht="15" customHeight="1" x14ac:dyDescent="0.3">
      <c r="C6" s="39"/>
      <c r="D6" s="113"/>
      <c r="E6" s="53" t="s">
        <v>189</v>
      </c>
      <c r="F6" s="54" t="s">
        <v>121</v>
      </c>
      <c r="G6" s="56" t="s">
        <v>278</v>
      </c>
      <c r="H6" s="52" t="s">
        <v>128</v>
      </c>
      <c r="I6" s="40" t="s">
        <v>232</v>
      </c>
      <c r="J6" s="67" t="s">
        <v>236</v>
      </c>
      <c r="K6" s="59">
        <v>648280</v>
      </c>
      <c r="L6" s="50"/>
      <c r="M6" s="50"/>
      <c r="N6" s="51"/>
      <c r="O6" s="51"/>
    </row>
    <row r="7" spans="1:15" s="49" customFormat="1" ht="15" customHeight="1" x14ac:dyDescent="0.3">
      <c r="C7" s="39"/>
      <c r="D7" s="113"/>
      <c r="E7" s="53" t="s">
        <v>189</v>
      </c>
      <c r="F7" s="54" t="s">
        <v>121</v>
      </c>
      <c r="G7" s="56" t="s">
        <v>279</v>
      </c>
      <c r="H7" s="52" t="s">
        <v>128</v>
      </c>
      <c r="I7" s="40" t="s">
        <v>232</v>
      </c>
      <c r="J7" s="67" t="s">
        <v>236</v>
      </c>
      <c r="K7" s="59">
        <v>5000000</v>
      </c>
      <c r="L7" s="50"/>
      <c r="M7" s="50"/>
      <c r="N7" s="51"/>
      <c r="O7" s="51"/>
    </row>
    <row r="8" spans="1:15" s="49" customFormat="1" ht="15" customHeight="1" x14ac:dyDescent="0.3">
      <c r="C8" s="39"/>
      <c r="D8" s="113"/>
      <c r="E8" s="53" t="s">
        <v>189</v>
      </c>
      <c r="F8" s="54" t="s">
        <v>121</v>
      </c>
      <c r="G8" s="56" t="s">
        <v>243</v>
      </c>
      <c r="H8" s="52" t="s">
        <v>128</v>
      </c>
      <c r="I8" s="40" t="s">
        <v>232</v>
      </c>
      <c r="J8" s="67" t="s">
        <v>236</v>
      </c>
      <c r="K8" s="59">
        <v>18730800</v>
      </c>
      <c r="L8" s="50"/>
      <c r="M8" s="50"/>
      <c r="N8" s="51"/>
      <c r="O8" s="51"/>
    </row>
    <row r="9" spans="1:15" s="49" customFormat="1" ht="15" customHeight="1" x14ac:dyDescent="0.3">
      <c r="C9" s="39"/>
      <c r="D9" s="113"/>
      <c r="E9" s="53" t="s">
        <v>189</v>
      </c>
      <c r="F9" s="54" t="s">
        <v>121</v>
      </c>
      <c r="G9" s="56" t="s">
        <v>257</v>
      </c>
      <c r="H9" s="52" t="s">
        <v>128</v>
      </c>
      <c r="I9" s="53" t="s">
        <v>241</v>
      </c>
      <c r="J9" s="58" t="s">
        <v>242</v>
      </c>
      <c r="K9" s="59">
        <v>42000000</v>
      </c>
      <c r="L9" s="50"/>
      <c r="M9" s="50"/>
      <c r="N9" s="51"/>
      <c r="O9" s="51"/>
    </row>
    <row r="10" spans="1:15" s="49" customFormat="1" ht="15" customHeight="1" x14ac:dyDescent="0.3">
      <c r="C10" s="39"/>
      <c r="D10" s="113"/>
      <c r="E10" s="53" t="s">
        <v>189</v>
      </c>
      <c r="F10" s="54" t="s">
        <v>121</v>
      </c>
      <c r="G10" s="56" t="s">
        <v>188</v>
      </c>
      <c r="H10" s="52" t="s">
        <v>128</v>
      </c>
      <c r="I10" s="53" t="s">
        <v>241</v>
      </c>
      <c r="J10" s="58" t="s">
        <v>242</v>
      </c>
      <c r="K10" s="59">
        <v>5727273</v>
      </c>
      <c r="L10" s="50"/>
      <c r="M10" s="50"/>
      <c r="N10" s="51"/>
      <c r="O10" s="51"/>
    </row>
    <row r="11" spans="1:15" s="49" customFormat="1" ht="16.5" customHeight="1" x14ac:dyDescent="0.3">
      <c r="C11" s="39"/>
      <c r="D11" s="113"/>
      <c r="E11" s="53" t="s">
        <v>189</v>
      </c>
      <c r="F11" s="54" t="s">
        <v>121</v>
      </c>
      <c r="G11" s="56" t="s">
        <v>123</v>
      </c>
      <c r="H11" s="52" t="s">
        <v>128</v>
      </c>
      <c r="I11" s="40" t="s">
        <v>232</v>
      </c>
      <c r="J11" s="67" t="s">
        <v>236</v>
      </c>
      <c r="K11" s="59">
        <v>168074387</v>
      </c>
      <c r="L11" s="50"/>
      <c r="M11" s="50"/>
      <c r="N11" s="51"/>
      <c r="O11" s="51"/>
    </row>
    <row r="12" spans="1:15" s="49" customFormat="1" ht="15" customHeight="1" x14ac:dyDescent="0.3">
      <c r="C12" s="39"/>
      <c r="D12" s="113"/>
      <c r="E12" s="53" t="s">
        <v>189</v>
      </c>
      <c r="F12" s="53" t="s">
        <v>121</v>
      </c>
      <c r="G12" s="52" t="s">
        <v>124</v>
      </c>
      <c r="H12" s="52" t="s">
        <v>128</v>
      </c>
      <c r="I12" s="40" t="s">
        <v>232</v>
      </c>
      <c r="J12" s="67" t="s">
        <v>236</v>
      </c>
      <c r="K12" s="60">
        <v>40304770</v>
      </c>
      <c r="L12" s="50"/>
      <c r="M12" s="50"/>
      <c r="N12" s="51"/>
      <c r="O12" s="51"/>
    </row>
    <row r="13" spans="1:15" s="49" customFormat="1" ht="15" customHeight="1" x14ac:dyDescent="0.3">
      <c r="C13" s="39"/>
      <c r="D13" s="113"/>
      <c r="E13" s="53" t="s">
        <v>189</v>
      </c>
      <c r="F13" s="53" t="s">
        <v>121</v>
      </c>
      <c r="G13" s="52" t="s">
        <v>125</v>
      </c>
      <c r="H13" s="52" t="s">
        <v>128</v>
      </c>
      <c r="I13" s="40" t="s">
        <v>232</v>
      </c>
      <c r="J13" s="67" t="s">
        <v>236</v>
      </c>
      <c r="K13" s="60">
        <v>77420700</v>
      </c>
      <c r="L13" s="50"/>
      <c r="M13" s="50"/>
      <c r="N13" s="51"/>
      <c r="O13" s="51"/>
    </row>
    <row r="14" spans="1:15" s="49" customFormat="1" ht="15" customHeight="1" x14ac:dyDescent="0.3">
      <c r="C14" s="39"/>
      <c r="D14" s="113"/>
      <c r="E14" s="133" t="s">
        <v>212</v>
      </c>
      <c r="F14" s="134" t="s">
        <v>121</v>
      </c>
      <c r="G14" s="135" t="s">
        <v>148</v>
      </c>
      <c r="H14" s="136" t="s">
        <v>128</v>
      </c>
      <c r="I14" s="137" t="s">
        <v>232</v>
      </c>
      <c r="J14" s="138" t="s">
        <v>236</v>
      </c>
      <c r="K14" s="139">
        <v>32847000</v>
      </c>
      <c r="L14" s="50"/>
      <c r="M14" s="50"/>
      <c r="N14" s="51"/>
      <c r="O14" s="51"/>
    </row>
    <row r="15" spans="1:15" s="49" customFormat="1" ht="15" customHeight="1" x14ac:dyDescent="0.3">
      <c r="C15" s="39"/>
      <c r="D15" s="113"/>
      <c r="E15" s="133" t="s">
        <v>212</v>
      </c>
      <c r="F15" s="133" t="s">
        <v>121</v>
      </c>
      <c r="G15" s="136" t="s">
        <v>149</v>
      </c>
      <c r="H15" s="136" t="s">
        <v>128</v>
      </c>
      <c r="I15" s="137" t="s">
        <v>232</v>
      </c>
      <c r="J15" s="138" t="s">
        <v>236</v>
      </c>
      <c r="K15" s="140">
        <v>11973000</v>
      </c>
      <c r="L15" s="50"/>
      <c r="M15" s="50"/>
      <c r="N15" s="51"/>
      <c r="O15" s="51"/>
    </row>
    <row r="16" spans="1:15" s="49" customFormat="1" ht="15" customHeight="1" x14ac:dyDescent="0.3">
      <c r="A16" s="49">
        <v>80119730</v>
      </c>
      <c r="C16" s="39"/>
      <c r="D16" s="113"/>
      <c r="E16" s="53" t="s">
        <v>213</v>
      </c>
      <c r="F16" s="53" t="s">
        <v>121</v>
      </c>
      <c r="G16" s="52" t="s">
        <v>126</v>
      </c>
      <c r="H16" s="52" t="s">
        <v>167</v>
      </c>
      <c r="I16" s="53" t="s">
        <v>161</v>
      </c>
      <c r="J16" s="57" t="s">
        <v>163</v>
      </c>
      <c r="K16" s="60">
        <v>80119730</v>
      </c>
      <c r="L16" s="50"/>
      <c r="M16" s="50"/>
      <c r="N16" s="51"/>
      <c r="O16" s="51"/>
    </row>
    <row r="17" spans="3:15" s="49" customFormat="1" ht="15" customHeight="1" x14ac:dyDescent="0.3">
      <c r="C17" s="39"/>
      <c r="D17" s="113"/>
      <c r="E17" s="53" t="s">
        <v>189</v>
      </c>
      <c r="F17" s="53" t="s">
        <v>121</v>
      </c>
      <c r="G17" s="56" t="s">
        <v>173</v>
      </c>
      <c r="H17" s="56" t="s">
        <v>174</v>
      </c>
      <c r="I17" s="54" t="s">
        <v>253</v>
      </c>
      <c r="J17" s="67" t="s">
        <v>254</v>
      </c>
      <c r="K17" s="59">
        <v>950000</v>
      </c>
      <c r="L17" s="50"/>
      <c r="M17" s="50"/>
      <c r="N17" s="51"/>
      <c r="O17" s="51"/>
    </row>
    <row r="18" spans="3:15" s="49" customFormat="1" ht="15" customHeight="1" x14ac:dyDescent="0.3">
      <c r="C18" s="39"/>
      <c r="D18" s="113"/>
      <c r="E18" s="53" t="s">
        <v>213</v>
      </c>
      <c r="F18" s="54" t="s">
        <v>121</v>
      </c>
      <c r="G18" s="56" t="s">
        <v>127</v>
      </c>
      <c r="H18" s="56" t="s">
        <v>167</v>
      </c>
      <c r="I18" s="54" t="s">
        <v>168</v>
      </c>
      <c r="J18" s="55" t="s">
        <v>163</v>
      </c>
      <c r="K18" s="59">
        <v>117912000</v>
      </c>
      <c r="L18" s="50"/>
      <c r="M18" s="50"/>
      <c r="N18" s="51"/>
      <c r="O18" s="51"/>
    </row>
    <row r="19" spans="3:15" s="49" customFormat="1" ht="15" customHeight="1" x14ac:dyDescent="0.3">
      <c r="C19" s="39"/>
      <c r="D19" s="113"/>
      <c r="E19" s="53" t="s">
        <v>189</v>
      </c>
      <c r="F19" s="53" t="s">
        <v>121</v>
      </c>
      <c r="G19" s="52" t="s">
        <v>153</v>
      </c>
      <c r="H19" s="52" t="s">
        <v>160</v>
      </c>
      <c r="I19" s="53" t="s">
        <v>162</v>
      </c>
      <c r="J19" s="57" t="s">
        <v>163</v>
      </c>
      <c r="K19" s="60">
        <v>9000000</v>
      </c>
      <c r="L19" s="50"/>
      <c r="M19" s="50"/>
      <c r="N19" s="51"/>
      <c r="O19" s="51"/>
    </row>
    <row r="20" spans="3:15" s="49" customFormat="1" ht="15" customHeight="1" x14ac:dyDescent="0.3">
      <c r="C20" s="39"/>
      <c r="D20" s="114"/>
      <c r="E20" s="110" t="s">
        <v>33</v>
      </c>
      <c r="F20" s="111"/>
      <c r="G20" s="111"/>
      <c r="H20" s="111"/>
      <c r="I20" s="111"/>
      <c r="J20" s="112"/>
      <c r="K20" s="70">
        <f>SUM(K4:K19)</f>
        <v>624378190</v>
      </c>
      <c r="L20" s="50"/>
      <c r="M20" s="50"/>
      <c r="N20" s="51"/>
      <c r="O20" s="51"/>
    </row>
    <row r="21" spans="3:15" s="49" customFormat="1" ht="15" customHeight="1" x14ac:dyDescent="0.3">
      <c r="C21" s="39"/>
      <c r="D21" s="71" t="s">
        <v>67</v>
      </c>
      <c r="E21" s="53" t="s">
        <v>189</v>
      </c>
      <c r="F21" s="53" t="s">
        <v>164</v>
      </c>
      <c r="G21" s="52" t="s">
        <v>235</v>
      </c>
      <c r="H21" s="52" t="s">
        <v>165</v>
      </c>
      <c r="I21" s="61" t="s">
        <v>233</v>
      </c>
      <c r="J21" s="58" t="s">
        <v>234</v>
      </c>
      <c r="K21" s="60">
        <v>7665000</v>
      </c>
      <c r="L21" s="50"/>
      <c r="M21" s="50"/>
      <c r="N21" s="51"/>
      <c r="O21" s="51"/>
    </row>
    <row r="22" spans="3:15" s="49" customFormat="1" ht="15" customHeight="1" x14ac:dyDescent="0.3">
      <c r="C22" s="39"/>
      <c r="D22" s="41"/>
      <c r="E22" s="53" t="s">
        <v>189</v>
      </c>
      <c r="F22" s="53" t="s">
        <v>169</v>
      </c>
      <c r="G22" s="65" t="s">
        <v>272</v>
      </c>
      <c r="H22" s="52" t="s">
        <v>170</v>
      </c>
      <c r="I22" s="53" t="s">
        <v>172</v>
      </c>
      <c r="J22" s="58" t="s">
        <v>171</v>
      </c>
      <c r="K22" s="60">
        <v>96640000</v>
      </c>
      <c r="L22" s="50"/>
      <c r="M22" s="50"/>
      <c r="N22" s="51"/>
      <c r="O22" s="51"/>
    </row>
    <row r="23" spans="3:15" s="49" customFormat="1" ht="15" customHeight="1" x14ac:dyDescent="0.3">
      <c r="C23" s="39"/>
      <c r="D23" s="41"/>
      <c r="E23" s="68" t="s">
        <v>192</v>
      </c>
      <c r="F23" s="53" t="s">
        <v>169</v>
      </c>
      <c r="G23" s="65" t="s">
        <v>273</v>
      </c>
      <c r="H23" s="62" t="s">
        <v>194</v>
      </c>
      <c r="I23" s="69" t="s">
        <v>249</v>
      </c>
      <c r="J23" s="63" t="s">
        <v>250</v>
      </c>
      <c r="K23" s="60">
        <v>144833333</v>
      </c>
      <c r="L23" s="50"/>
      <c r="M23" s="50"/>
      <c r="N23" s="51"/>
      <c r="O23" s="51"/>
    </row>
    <row r="24" spans="3:15" s="49" customFormat="1" ht="15" customHeight="1" x14ac:dyDescent="0.3">
      <c r="C24" s="39"/>
      <c r="D24" s="41"/>
      <c r="E24" s="68" t="s">
        <v>192</v>
      </c>
      <c r="F24" s="53" t="s">
        <v>169</v>
      </c>
      <c r="G24" s="65" t="s">
        <v>274</v>
      </c>
      <c r="H24" s="62" t="s">
        <v>193</v>
      </c>
      <c r="I24" s="69" t="s">
        <v>251</v>
      </c>
      <c r="J24" s="63" t="s">
        <v>252</v>
      </c>
      <c r="K24" s="60">
        <v>24660000</v>
      </c>
      <c r="L24" s="50"/>
      <c r="M24" s="50"/>
      <c r="N24" s="51"/>
      <c r="O24" s="51"/>
    </row>
    <row r="25" spans="3:15" s="49" customFormat="1" ht="15" customHeight="1" x14ac:dyDescent="0.3">
      <c r="C25" s="39"/>
      <c r="D25" s="72"/>
      <c r="E25" s="115" t="s">
        <v>33</v>
      </c>
      <c r="F25" s="116"/>
      <c r="G25" s="116"/>
      <c r="H25" s="116"/>
      <c r="I25" s="116"/>
      <c r="J25" s="117"/>
      <c r="K25" s="60">
        <f>SUM(K21:K24)</f>
        <v>273798333</v>
      </c>
      <c r="L25" s="50"/>
      <c r="M25" s="50"/>
      <c r="N25" s="51"/>
      <c r="O25" s="51"/>
    </row>
    <row r="26" spans="3:15" s="49" customFormat="1" ht="15" customHeight="1" x14ac:dyDescent="0.3">
      <c r="C26" s="39"/>
      <c r="D26" s="41"/>
      <c r="E26" s="53" t="s">
        <v>189</v>
      </c>
      <c r="F26" s="53" t="s">
        <v>130</v>
      </c>
      <c r="G26" s="52" t="s">
        <v>135</v>
      </c>
      <c r="H26" s="52" t="s">
        <v>145</v>
      </c>
      <c r="I26" s="53" t="s">
        <v>239</v>
      </c>
      <c r="J26" s="58" t="s">
        <v>240</v>
      </c>
      <c r="K26" s="60">
        <v>1000000</v>
      </c>
      <c r="L26" s="50"/>
      <c r="M26" s="50"/>
      <c r="N26" s="51"/>
      <c r="O26" s="51"/>
    </row>
    <row r="27" spans="3:15" s="49" customFormat="1" ht="15" customHeight="1" x14ac:dyDescent="0.3">
      <c r="C27" s="39"/>
      <c r="D27" s="41"/>
      <c r="E27" s="53" t="s">
        <v>189</v>
      </c>
      <c r="F27" s="53" t="s">
        <v>130</v>
      </c>
      <c r="G27" s="52" t="s">
        <v>129</v>
      </c>
      <c r="H27" s="52" t="s">
        <v>177</v>
      </c>
      <c r="I27" s="53" t="s">
        <v>241</v>
      </c>
      <c r="J27" s="58" t="s">
        <v>242</v>
      </c>
      <c r="K27" s="60">
        <v>2000000</v>
      </c>
      <c r="L27" s="50"/>
      <c r="M27" s="50"/>
      <c r="N27" s="51"/>
      <c r="O27" s="51"/>
    </row>
    <row r="28" spans="3:15" s="49" customFormat="1" ht="15" customHeight="1" x14ac:dyDescent="0.3">
      <c r="C28" s="39"/>
      <c r="D28" s="41"/>
      <c r="E28" s="53" t="s">
        <v>189</v>
      </c>
      <c r="F28" s="53" t="s">
        <v>130</v>
      </c>
      <c r="G28" s="52" t="s">
        <v>265</v>
      </c>
      <c r="H28" s="52" t="s">
        <v>128</v>
      </c>
      <c r="I28" s="53" t="s">
        <v>241</v>
      </c>
      <c r="J28" s="58" t="s">
        <v>242</v>
      </c>
      <c r="K28" s="60">
        <v>2154200</v>
      </c>
      <c r="L28" s="50"/>
      <c r="M28" s="50"/>
      <c r="N28" s="51"/>
      <c r="O28" s="51"/>
    </row>
    <row r="29" spans="3:15" s="49" customFormat="1" ht="15" customHeight="1" x14ac:dyDescent="0.3">
      <c r="C29" s="39"/>
      <c r="D29" s="41"/>
      <c r="E29" s="53" t="s">
        <v>189</v>
      </c>
      <c r="F29" s="53" t="s">
        <v>130</v>
      </c>
      <c r="G29" s="52" t="s">
        <v>266</v>
      </c>
      <c r="H29" s="52" t="s">
        <v>128</v>
      </c>
      <c r="I29" s="53" t="s">
        <v>255</v>
      </c>
      <c r="J29" s="58" t="s">
        <v>256</v>
      </c>
      <c r="K29" s="60">
        <v>283500</v>
      </c>
      <c r="L29" s="50"/>
      <c r="M29" s="50"/>
      <c r="N29" s="51"/>
      <c r="O29" s="51"/>
    </row>
    <row r="30" spans="3:15" s="49" customFormat="1" ht="15" customHeight="1" x14ac:dyDescent="0.3">
      <c r="C30" s="39"/>
      <c r="D30" s="41"/>
      <c r="E30" s="53" t="s">
        <v>157</v>
      </c>
      <c r="F30" s="53" t="s">
        <v>130</v>
      </c>
      <c r="G30" s="52" t="s">
        <v>156</v>
      </c>
      <c r="H30" s="52" t="s">
        <v>139</v>
      </c>
      <c r="I30" s="53" t="s">
        <v>241</v>
      </c>
      <c r="J30" s="58" t="s">
        <v>242</v>
      </c>
      <c r="K30" s="60">
        <v>870400</v>
      </c>
      <c r="L30" s="50"/>
      <c r="M30" s="50"/>
      <c r="N30" s="51"/>
      <c r="O30" s="51"/>
    </row>
    <row r="31" spans="3:15" s="49" customFormat="1" ht="15" customHeight="1" x14ac:dyDescent="0.3">
      <c r="C31" s="39"/>
      <c r="D31" s="41"/>
      <c r="E31" s="53" t="s">
        <v>189</v>
      </c>
      <c r="F31" s="53" t="s">
        <v>130</v>
      </c>
      <c r="G31" s="66" t="s">
        <v>275</v>
      </c>
      <c r="H31" s="52" t="s">
        <v>128</v>
      </c>
      <c r="I31" s="53" t="s">
        <v>241</v>
      </c>
      <c r="J31" s="58" t="s">
        <v>242</v>
      </c>
      <c r="K31" s="59">
        <v>1020000</v>
      </c>
      <c r="L31" s="50"/>
      <c r="M31" s="50"/>
      <c r="N31" s="51"/>
      <c r="O31" s="51"/>
    </row>
    <row r="32" spans="3:15" s="49" customFormat="1" ht="15" customHeight="1" x14ac:dyDescent="0.3">
      <c r="C32" s="39"/>
      <c r="D32" s="41"/>
      <c r="E32" s="53" t="s">
        <v>189</v>
      </c>
      <c r="F32" s="53" t="s">
        <v>130</v>
      </c>
      <c r="G32" s="56" t="s">
        <v>154</v>
      </c>
      <c r="H32" s="56" t="s">
        <v>141</v>
      </c>
      <c r="I32" s="53" t="s">
        <v>259</v>
      </c>
      <c r="J32" s="58" t="s">
        <v>269</v>
      </c>
      <c r="K32" s="59">
        <v>1390000</v>
      </c>
      <c r="L32" s="50"/>
      <c r="M32" s="50"/>
      <c r="N32" s="51"/>
      <c r="O32" s="51"/>
    </row>
    <row r="33" spans="3:15" s="49" customFormat="1" ht="15" customHeight="1" x14ac:dyDescent="0.3">
      <c r="C33" s="39"/>
      <c r="D33" s="41"/>
      <c r="E33" s="53" t="s">
        <v>189</v>
      </c>
      <c r="F33" s="53" t="s">
        <v>130</v>
      </c>
      <c r="G33" s="56" t="s">
        <v>267</v>
      </c>
      <c r="H33" s="56" t="s">
        <v>141</v>
      </c>
      <c r="I33" s="53" t="s">
        <v>241</v>
      </c>
      <c r="J33" s="58" t="s">
        <v>242</v>
      </c>
      <c r="K33" s="59">
        <v>605000</v>
      </c>
      <c r="L33" s="50"/>
      <c r="M33" s="50"/>
      <c r="N33" s="51"/>
      <c r="O33" s="51"/>
    </row>
    <row r="34" spans="3:15" s="49" customFormat="1" ht="15" customHeight="1" x14ac:dyDescent="0.3">
      <c r="C34" s="39"/>
      <c r="D34" s="41"/>
      <c r="E34" s="53" t="s">
        <v>189</v>
      </c>
      <c r="F34" s="53" t="s">
        <v>130</v>
      </c>
      <c r="G34" s="56" t="s">
        <v>155</v>
      </c>
      <c r="H34" s="56" t="s">
        <v>176</v>
      </c>
      <c r="I34" s="53" t="s">
        <v>241</v>
      </c>
      <c r="J34" s="58" t="s">
        <v>242</v>
      </c>
      <c r="K34" s="59">
        <v>659360</v>
      </c>
      <c r="L34" s="50"/>
      <c r="M34" s="50"/>
      <c r="N34" s="51"/>
      <c r="O34" s="51"/>
    </row>
    <row r="35" spans="3:15" s="49" customFormat="1" ht="15" customHeight="1" x14ac:dyDescent="0.3">
      <c r="C35" s="39"/>
      <c r="D35" s="41"/>
      <c r="E35" s="53" t="s">
        <v>218</v>
      </c>
      <c r="F35" s="53" t="s">
        <v>130</v>
      </c>
      <c r="G35" s="56" t="s">
        <v>261</v>
      </c>
      <c r="H35" s="56" t="s">
        <v>217</v>
      </c>
      <c r="I35" s="53" t="s">
        <v>255</v>
      </c>
      <c r="J35" s="58" t="s">
        <v>260</v>
      </c>
      <c r="K35" s="59">
        <v>833333</v>
      </c>
      <c r="L35" s="50"/>
      <c r="M35" s="50"/>
      <c r="N35" s="51"/>
      <c r="O35" s="51"/>
    </row>
    <row r="36" spans="3:15" s="49" customFormat="1" ht="15" customHeight="1" x14ac:dyDescent="0.3">
      <c r="C36" s="39"/>
      <c r="D36" s="41"/>
      <c r="E36" s="53" t="s">
        <v>189</v>
      </c>
      <c r="F36" s="53" t="s">
        <v>130</v>
      </c>
      <c r="G36" s="56" t="s">
        <v>219</v>
      </c>
      <c r="H36" s="56" t="s">
        <v>226</v>
      </c>
      <c r="I36" s="53" t="s">
        <v>241</v>
      </c>
      <c r="J36" s="58" t="s">
        <v>242</v>
      </c>
      <c r="K36" s="59">
        <v>4675000</v>
      </c>
      <c r="L36" s="50"/>
      <c r="M36" s="50"/>
      <c r="N36" s="51"/>
      <c r="O36" s="51"/>
    </row>
    <row r="37" spans="3:15" s="49" customFormat="1" ht="15" customHeight="1" x14ac:dyDescent="0.3">
      <c r="C37" s="39"/>
      <c r="D37" s="41"/>
      <c r="E37" s="53" t="s">
        <v>189</v>
      </c>
      <c r="F37" s="53" t="s">
        <v>130</v>
      </c>
      <c r="G37" s="56" t="s">
        <v>224</v>
      </c>
      <c r="H37" s="56" t="s">
        <v>225</v>
      </c>
      <c r="I37" s="53" t="s">
        <v>241</v>
      </c>
      <c r="J37" s="58" t="s">
        <v>242</v>
      </c>
      <c r="K37" s="59">
        <v>550000</v>
      </c>
      <c r="L37" s="50"/>
      <c r="M37" s="50"/>
      <c r="N37" s="51"/>
      <c r="O37" s="51"/>
    </row>
    <row r="38" spans="3:15" s="49" customFormat="1" ht="15" customHeight="1" x14ac:dyDescent="0.3">
      <c r="C38" s="39"/>
      <c r="D38" s="41"/>
      <c r="E38" s="53" t="s">
        <v>189</v>
      </c>
      <c r="F38" s="53" t="s">
        <v>130</v>
      </c>
      <c r="G38" s="52" t="s">
        <v>187</v>
      </c>
      <c r="H38" s="52" t="s">
        <v>179</v>
      </c>
      <c r="I38" s="53" t="s">
        <v>241</v>
      </c>
      <c r="J38" s="58" t="s">
        <v>242</v>
      </c>
      <c r="K38" s="60">
        <v>5582500</v>
      </c>
      <c r="L38" s="50"/>
      <c r="M38" s="50"/>
      <c r="N38" s="51"/>
      <c r="O38" s="51"/>
    </row>
    <row r="39" spans="3:15" s="49" customFormat="1" ht="15" customHeight="1" x14ac:dyDescent="0.3">
      <c r="C39" s="39"/>
      <c r="D39" s="41"/>
      <c r="E39" s="53" t="s">
        <v>189</v>
      </c>
      <c r="F39" s="53" t="s">
        <v>130</v>
      </c>
      <c r="G39" s="52" t="s">
        <v>180</v>
      </c>
      <c r="H39" s="52" t="s">
        <v>181</v>
      </c>
      <c r="I39" s="53" t="s">
        <v>241</v>
      </c>
      <c r="J39" s="58" t="s">
        <v>242</v>
      </c>
      <c r="K39" s="60">
        <v>1332870</v>
      </c>
      <c r="L39" s="50"/>
      <c r="M39" s="50"/>
      <c r="N39" s="51"/>
      <c r="O39" s="51"/>
    </row>
    <row r="40" spans="3:15" s="49" customFormat="1" ht="15" customHeight="1" x14ac:dyDescent="0.3">
      <c r="C40" s="39"/>
      <c r="D40" s="41"/>
      <c r="E40" s="53" t="s">
        <v>189</v>
      </c>
      <c r="F40" s="53" t="s">
        <v>130</v>
      </c>
      <c r="G40" s="52" t="s">
        <v>182</v>
      </c>
      <c r="H40" s="52" t="s">
        <v>183</v>
      </c>
      <c r="I40" s="53" t="s">
        <v>241</v>
      </c>
      <c r="J40" s="58" t="s">
        <v>242</v>
      </c>
      <c r="K40" s="60">
        <v>2148754</v>
      </c>
      <c r="L40" s="50"/>
      <c r="M40" s="50"/>
      <c r="N40" s="51"/>
      <c r="O40" s="51"/>
    </row>
    <row r="41" spans="3:15" s="49" customFormat="1" ht="15" customHeight="1" x14ac:dyDescent="0.3">
      <c r="C41" s="39"/>
      <c r="D41" s="41"/>
      <c r="E41" s="53" t="s">
        <v>189</v>
      </c>
      <c r="F41" s="53" t="s">
        <v>130</v>
      </c>
      <c r="G41" s="52" t="s">
        <v>203</v>
      </c>
      <c r="H41" s="52" t="s">
        <v>183</v>
      </c>
      <c r="I41" s="53" t="s">
        <v>241</v>
      </c>
      <c r="J41" s="58" t="s">
        <v>242</v>
      </c>
      <c r="K41" s="60">
        <v>698207</v>
      </c>
      <c r="L41" s="50"/>
      <c r="M41" s="50"/>
      <c r="N41" s="51"/>
      <c r="O41" s="51"/>
    </row>
    <row r="42" spans="3:15" s="49" customFormat="1" ht="15" customHeight="1" x14ac:dyDescent="0.3">
      <c r="C42" s="39"/>
      <c r="D42" s="41"/>
      <c r="E42" s="53" t="s">
        <v>189</v>
      </c>
      <c r="F42" s="53" t="s">
        <v>130</v>
      </c>
      <c r="G42" s="52" t="s">
        <v>206</v>
      </c>
      <c r="H42" s="52" t="s">
        <v>209</v>
      </c>
      <c r="I42" s="53" t="s">
        <v>241</v>
      </c>
      <c r="J42" s="58" t="s">
        <v>242</v>
      </c>
      <c r="K42" s="60">
        <v>562500</v>
      </c>
      <c r="L42" s="50"/>
      <c r="M42" s="50"/>
      <c r="N42" s="51"/>
      <c r="O42" s="51"/>
    </row>
    <row r="43" spans="3:15" s="49" customFormat="1" ht="15" customHeight="1" x14ac:dyDescent="0.3">
      <c r="C43" s="39"/>
      <c r="D43" s="41"/>
      <c r="E43" s="53" t="s">
        <v>189</v>
      </c>
      <c r="F43" s="53" t="s">
        <v>130</v>
      </c>
      <c r="G43" s="52" t="s">
        <v>207</v>
      </c>
      <c r="H43" s="52" t="s">
        <v>210</v>
      </c>
      <c r="I43" s="53" t="s">
        <v>241</v>
      </c>
      <c r="J43" s="58" t="s">
        <v>242</v>
      </c>
      <c r="K43" s="60">
        <v>110000</v>
      </c>
      <c r="L43" s="50"/>
      <c r="M43" s="50"/>
      <c r="N43" s="51"/>
      <c r="O43" s="51"/>
    </row>
    <row r="44" spans="3:15" s="49" customFormat="1" ht="15" customHeight="1" x14ac:dyDescent="0.3">
      <c r="C44" s="39"/>
      <c r="D44" s="41"/>
      <c r="E44" s="53" t="s">
        <v>189</v>
      </c>
      <c r="F44" s="53" t="s">
        <v>130</v>
      </c>
      <c r="G44" s="52" t="s">
        <v>208</v>
      </c>
      <c r="H44" s="52" t="s">
        <v>211</v>
      </c>
      <c r="I44" s="53" t="s">
        <v>241</v>
      </c>
      <c r="J44" s="58" t="s">
        <v>242</v>
      </c>
      <c r="K44" s="60">
        <v>850000</v>
      </c>
      <c r="L44" s="50"/>
      <c r="M44" s="50"/>
      <c r="N44" s="51"/>
      <c r="O44" s="51"/>
    </row>
    <row r="45" spans="3:15" s="49" customFormat="1" ht="15" customHeight="1" x14ac:dyDescent="0.3">
      <c r="C45" s="39"/>
      <c r="D45" s="41"/>
      <c r="E45" s="53" t="s">
        <v>189</v>
      </c>
      <c r="F45" s="53" t="s">
        <v>130</v>
      </c>
      <c r="G45" s="52" t="s">
        <v>185</v>
      </c>
      <c r="H45" s="52" t="s">
        <v>191</v>
      </c>
      <c r="I45" s="53" t="s">
        <v>241</v>
      </c>
      <c r="J45" s="58" t="s">
        <v>242</v>
      </c>
      <c r="K45" s="60">
        <v>9456563</v>
      </c>
      <c r="L45" s="50"/>
      <c r="M45" s="50"/>
      <c r="N45" s="51"/>
      <c r="O45" s="51"/>
    </row>
    <row r="46" spans="3:15" s="49" customFormat="1" ht="15" customHeight="1" x14ac:dyDescent="0.3">
      <c r="C46" s="39"/>
      <c r="D46" s="41"/>
      <c r="E46" s="53" t="s">
        <v>189</v>
      </c>
      <c r="F46" s="53" t="s">
        <v>130</v>
      </c>
      <c r="G46" s="52" t="s">
        <v>186</v>
      </c>
      <c r="H46" s="52" t="s">
        <v>147</v>
      </c>
      <c r="I46" s="53" t="s">
        <v>241</v>
      </c>
      <c r="J46" s="58" t="s">
        <v>242</v>
      </c>
      <c r="K46" s="60">
        <v>205734</v>
      </c>
      <c r="L46" s="50"/>
      <c r="M46" s="50"/>
      <c r="N46" s="51"/>
      <c r="O46" s="51"/>
    </row>
    <row r="47" spans="3:15" s="49" customFormat="1" ht="15" customHeight="1" x14ac:dyDescent="0.3">
      <c r="C47" s="39"/>
      <c r="D47" s="41"/>
      <c r="E47" s="53" t="s">
        <v>189</v>
      </c>
      <c r="F47" s="53" t="s">
        <v>130</v>
      </c>
      <c r="G47" s="52" t="s">
        <v>131</v>
      </c>
      <c r="H47" s="52" t="s">
        <v>128</v>
      </c>
      <c r="I47" s="53" t="s">
        <v>241</v>
      </c>
      <c r="J47" s="58" t="s">
        <v>242</v>
      </c>
      <c r="K47" s="60">
        <v>5600000</v>
      </c>
      <c r="L47" s="50"/>
      <c r="M47" s="50"/>
      <c r="N47" s="51"/>
      <c r="O47" s="51"/>
    </row>
    <row r="48" spans="3:15" s="49" customFormat="1" ht="15" customHeight="1" x14ac:dyDescent="0.3">
      <c r="C48" s="39"/>
      <c r="D48" s="41"/>
      <c r="E48" s="53" t="s">
        <v>189</v>
      </c>
      <c r="F48" s="53" t="s">
        <v>130</v>
      </c>
      <c r="G48" s="52" t="s">
        <v>132</v>
      </c>
      <c r="H48" s="52" t="s">
        <v>142</v>
      </c>
      <c r="I48" s="53" t="s">
        <v>241</v>
      </c>
      <c r="J48" s="58" t="s">
        <v>242</v>
      </c>
      <c r="K48" s="60">
        <v>7605833</v>
      </c>
      <c r="L48" s="50"/>
      <c r="M48" s="50"/>
      <c r="N48" s="51"/>
      <c r="O48" s="51"/>
    </row>
    <row r="49" spans="3:15" s="49" customFormat="1" ht="15" customHeight="1" x14ac:dyDescent="0.3">
      <c r="C49" s="39"/>
      <c r="D49" s="41"/>
      <c r="E49" s="53" t="s">
        <v>189</v>
      </c>
      <c r="F49" s="53" t="s">
        <v>130</v>
      </c>
      <c r="G49" s="52" t="s">
        <v>133</v>
      </c>
      <c r="H49" s="52" t="s">
        <v>143</v>
      </c>
      <c r="I49" s="42" t="s">
        <v>237</v>
      </c>
      <c r="J49" s="43" t="s">
        <v>238</v>
      </c>
      <c r="K49" s="60">
        <v>7000000</v>
      </c>
      <c r="L49" s="50"/>
      <c r="M49" s="50"/>
      <c r="N49" s="51"/>
      <c r="O49" s="51"/>
    </row>
    <row r="50" spans="3:15" s="49" customFormat="1" ht="15" customHeight="1" x14ac:dyDescent="0.3">
      <c r="C50" s="39"/>
      <c r="D50" s="41"/>
      <c r="E50" s="53" t="s">
        <v>189</v>
      </c>
      <c r="F50" s="53" t="s">
        <v>130</v>
      </c>
      <c r="G50" s="52" t="s">
        <v>134</v>
      </c>
      <c r="H50" s="52" t="s">
        <v>144</v>
      </c>
      <c r="I50" s="42" t="s">
        <v>237</v>
      </c>
      <c r="J50" s="43" t="s">
        <v>238</v>
      </c>
      <c r="K50" s="60">
        <v>1000000</v>
      </c>
      <c r="L50" s="50"/>
      <c r="M50" s="50"/>
      <c r="N50" s="51"/>
      <c r="O50" s="51"/>
    </row>
    <row r="51" spans="3:15" s="49" customFormat="1" ht="15" customHeight="1" x14ac:dyDescent="0.3">
      <c r="C51" s="39"/>
      <c r="D51" s="41"/>
      <c r="E51" s="53" t="s">
        <v>189</v>
      </c>
      <c r="F51" s="53" t="s">
        <v>130</v>
      </c>
      <c r="G51" s="52" t="s">
        <v>284</v>
      </c>
      <c r="H51" s="52" t="s">
        <v>285</v>
      </c>
      <c r="I51" s="42" t="s">
        <v>237</v>
      </c>
      <c r="J51" s="43" t="s">
        <v>286</v>
      </c>
      <c r="K51" s="60">
        <v>7920000</v>
      </c>
      <c r="L51" s="50"/>
      <c r="M51" s="50"/>
      <c r="N51" s="51"/>
      <c r="O51" s="51"/>
    </row>
    <row r="52" spans="3:15" s="49" customFormat="1" ht="15" customHeight="1" x14ac:dyDescent="0.3">
      <c r="C52" s="39"/>
      <c r="D52" s="41"/>
      <c r="E52" s="133" t="s">
        <v>212</v>
      </c>
      <c r="F52" s="133" t="s">
        <v>130</v>
      </c>
      <c r="G52" s="136" t="s">
        <v>220</v>
      </c>
      <c r="H52" s="136" t="s">
        <v>128</v>
      </c>
      <c r="I52" s="141" t="s">
        <v>237</v>
      </c>
      <c r="J52" s="142" t="s">
        <v>238</v>
      </c>
      <c r="K52" s="140">
        <v>1220000</v>
      </c>
      <c r="L52" s="50"/>
      <c r="M52" s="50"/>
      <c r="N52" s="51"/>
      <c r="O52" s="51"/>
    </row>
    <row r="53" spans="3:15" s="49" customFormat="1" ht="15" customHeight="1" x14ac:dyDescent="0.3">
      <c r="C53" s="39"/>
      <c r="D53" s="41"/>
      <c r="E53" s="133" t="s">
        <v>212</v>
      </c>
      <c r="F53" s="133" t="s">
        <v>158</v>
      </c>
      <c r="G53" s="136" t="s">
        <v>166</v>
      </c>
      <c r="H53" s="136" t="s">
        <v>175</v>
      </c>
      <c r="I53" s="141" t="s">
        <v>237</v>
      </c>
      <c r="J53" s="142" t="s">
        <v>238</v>
      </c>
      <c r="K53" s="140">
        <v>1400000</v>
      </c>
      <c r="L53" s="50"/>
      <c r="M53" s="50"/>
      <c r="N53" s="51"/>
      <c r="O53" s="51"/>
    </row>
    <row r="54" spans="3:15" s="49" customFormat="1" ht="15" customHeight="1" x14ac:dyDescent="0.3">
      <c r="C54" s="39"/>
      <c r="D54" s="41"/>
      <c r="E54" s="133" t="s">
        <v>192</v>
      </c>
      <c r="F54" s="133" t="s">
        <v>227</v>
      </c>
      <c r="G54" s="136" t="s">
        <v>228</v>
      </c>
      <c r="H54" s="136" t="s">
        <v>229</v>
      </c>
      <c r="I54" s="141" t="s">
        <v>237</v>
      </c>
      <c r="J54" s="142" t="s">
        <v>238</v>
      </c>
      <c r="K54" s="140">
        <v>100000</v>
      </c>
      <c r="L54" s="50"/>
      <c r="M54" s="50"/>
      <c r="N54" s="51"/>
      <c r="O54" s="51"/>
    </row>
    <row r="55" spans="3:15" s="49" customFormat="1" ht="15" customHeight="1" x14ac:dyDescent="0.3">
      <c r="C55" s="39"/>
      <c r="D55" s="41"/>
      <c r="E55" s="53" t="s">
        <v>189</v>
      </c>
      <c r="F55" s="53" t="s">
        <v>130</v>
      </c>
      <c r="G55" s="52" t="s">
        <v>244</v>
      </c>
      <c r="H55" s="52" t="s">
        <v>128</v>
      </c>
      <c r="I55" s="53" t="s">
        <v>241</v>
      </c>
      <c r="J55" s="58" t="s">
        <v>242</v>
      </c>
      <c r="K55" s="60">
        <v>4640000</v>
      </c>
      <c r="L55" s="50"/>
      <c r="M55" s="50"/>
      <c r="N55" s="51"/>
      <c r="O55" s="51"/>
    </row>
    <row r="56" spans="3:15" s="49" customFormat="1" ht="15" customHeight="1" x14ac:dyDescent="0.3">
      <c r="C56" s="39"/>
      <c r="D56" s="41"/>
      <c r="E56" s="53" t="s">
        <v>189</v>
      </c>
      <c r="F56" s="53" t="s">
        <v>130</v>
      </c>
      <c r="G56" s="52" t="s">
        <v>258</v>
      </c>
      <c r="H56" s="52" t="s">
        <v>128</v>
      </c>
      <c r="I56" s="53" t="s">
        <v>241</v>
      </c>
      <c r="J56" s="58" t="s">
        <v>242</v>
      </c>
      <c r="K56" s="60">
        <v>14100000</v>
      </c>
      <c r="L56" s="50"/>
      <c r="M56" s="50"/>
      <c r="N56" s="51"/>
      <c r="O56" s="51"/>
    </row>
    <row r="57" spans="3:15" s="49" customFormat="1" ht="15" customHeight="1" x14ac:dyDescent="0.3">
      <c r="C57" s="39"/>
      <c r="D57" s="41"/>
      <c r="E57" s="53" t="s">
        <v>189</v>
      </c>
      <c r="F57" s="53" t="s">
        <v>130</v>
      </c>
      <c r="G57" s="52" t="s">
        <v>276</v>
      </c>
      <c r="H57" s="52" t="s">
        <v>128</v>
      </c>
      <c r="I57" s="53" t="s">
        <v>184</v>
      </c>
      <c r="J57" s="57" t="s">
        <v>178</v>
      </c>
      <c r="K57" s="60">
        <v>50000000</v>
      </c>
      <c r="L57" s="50"/>
      <c r="M57" s="50"/>
      <c r="N57" s="51"/>
      <c r="O57" s="51"/>
    </row>
    <row r="58" spans="3:15" s="49" customFormat="1" ht="15" customHeight="1" x14ac:dyDescent="0.3">
      <c r="C58" s="39"/>
      <c r="D58" s="41"/>
      <c r="E58" s="53" t="s">
        <v>189</v>
      </c>
      <c r="F58" s="53" t="s">
        <v>130</v>
      </c>
      <c r="G58" s="52" t="s">
        <v>195</v>
      </c>
      <c r="H58" s="52" t="s">
        <v>199</v>
      </c>
      <c r="I58" s="53" t="s">
        <v>270</v>
      </c>
      <c r="J58" s="58" t="s">
        <v>271</v>
      </c>
      <c r="K58" s="60">
        <v>40000</v>
      </c>
      <c r="L58" s="50"/>
      <c r="M58" s="50"/>
      <c r="N58" s="51"/>
      <c r="O58" s="51"/>
    </row>
    <row r="59" spans="3:15" s="49" customFormat="1" ht="15" customHeight="1" x14ac:dyDescent="0.3">
      <c r="C59" s="39"/>
      <c r="D59" s="41"/>
      <c r="E59" s="53" t="s">
        <v>189</v>
      </c>
      <c r="F59" s="53" t="s">
        <v>130</v>
      </c>
      <c r="G59" s="52" t="s">
        <v>196</v>
      </c>
      <c r="H59" s="52" t="s">
        <v>200</v>
      </c>
      <c r="I59" s="53" t="s">
        <v>241</v>
      </c>
      <c r="J59" s="58" t="s">
        <v>242</v>
      </c>
      <c r="K59" s="60">
        <v>4800000</v>
      </c>
      <c r="L59" s="50"/>
      <c r="M59" s="50"/>
      <c r="N59" s="51"/>
      <c r="O59" s="51"/>
    </row>
    <row r="60" spans="3:15" s="49" customFormat="1" ht="15" customHeight="1" x14ac:dyDescent="0.3">
      <c r="C60" s="39"/>
      <c r="D60" s="41"/>
      <c r="E60" s="53" t="s">
        <v>189</v>
      </c>
      <c r="F60" s="53" t="s">
        <v>130</v>
      </c>
      <c r="G60" s="52" t="s">
        <v>197</v>
      </c>
      <c r="H60" s="52" t="s">
        <v>201</v>
      </c>
      <c r="I60" s="53" t="s">
        <v>241</v>
      </c>
      <c r="J60" s="58" t="s">
        <v>242</v>
      </c>
      <c r="K60" s="60">
        <v>1416000</v>
      </c>
      <c r="L60" s="50"/>
      <c r="M60" s="50"/>
      <c r="N60" s="51"/>
      <c r="O60" s="51"/>
    </row>
    <row r="61" spans="3:15" s="49" customFormat="1" ht="15" customHeight="1" x14ac:dyDescent="0.3">
      <c r="C61" s="39"/>
      <c r="D61" s="41"/>
      <c r="E61" s="53" t="s">
        <v>189</v>
      </c>
      <c r="F61" s="53" t="s">
        <v>130</v>
      </c>
      <c r="G61" s="52" t="s">
        <v>198</v>
      </c>
      <c r="H61" s="52" t="s">
        <v>202</v>
      </c>
      <c r="I61" s="53" t="s">
        <v>241</v>
      </c>
      <c r="J61" s="58" t="s">
        <v>242</v>
      </c>
      <c r="K61" s="60">
        <v>1125000</v>
      </c>
      <c r="L61" s="50"/>
      <c r="M61" s="50"/>
      <c r="N61" s="51"/>
      <c r="O61" s="51"/>
    </row>
    <row r="62" spans="3:15" s="49" customFormat="1" ht="15" customHeight="1" x14ac:dyDescent="0.3">
      <c r="C62" s="39"/>
      <c r="D62" s="41"/>
      <c r="E62" s="53" t="s">
        <v>189</v>
      </c>
      <c r="F62" s="53" t="s">
        <v>130</v>
      </c>
      <c r="G62" s="52" t="s">
        <v>245</v>
      </c>
      <c r="H62" s="52" t="s">
        <v>246</v>
      </c>
      <c r="I62" s="53" t="s">
        <v>247</v>
      </c>
      <c r="J62" s="58" t="s">
        <v>248</v>
      </c>
      <c r="K62" s="60">
        <v>8000000</v>
      </c>
      <c r="L62" s="50"/>
      <c r="M62" s="50"/>
      <c r="N62" s="51"/>
      <c r="O62" s="51"/>
    </row>
    <row r="63" spans="3:15" s="49" customFormat="1" ht="15" customHeight="1" x14ac:dyDescent="0.3">
      <c r="C63" s="39"/>
      <c r="D63" s="41"/>
      <c r="E63" s="53" t="s">
        <v>189</v>
      </c>
      <c r="F63" s="53" t="s">
        <v>130</v>
      </c>
      <c r="G63" s="52" t="s">
        <v>136</v>
      </c>
      <c r="H63" s="52" t="s">
        <v>128</v>
      </c>
      <c r="I63" s="53" t="s">
        <v>241</v>
      </c>
      <c r="J63" s="58" t="s">
        <v>242</v>
      </c>
      <c r="K63" s="60">
        <v>37981920</v>
      </c>
      <c r="L63" s="50"/>
      <c r="M63" s="50"/>
      <c r="N63" s="51"/>
      <c r="O63" s="51"/>
    </row>
    <row r="64" spans="3:15" s="49" customFormat="1" ht="15" customHeight="1" x14ac:dyDescent="0.3">
      <c r="C64" s="39"/>
      <c r="D64" s="41"/>
      <c r="E64" s="53" t="s">
        <v>189</v>
      </c>
      <c r="F64" s="53" t="s">
        <v>130</v>
      </c>
      <c r="G64" s="52" t="s">
        <v>137</v>
      </c>
      <c r="H64" s="52" t="s">
        <v>146</v>
      </c>
      <c r="I64" s="53" t="s">
        <v>241</v>
      </c>
      <c r="J64" s="58" t="s">
        <v>242</v>
      </c>
      <c r="K64" s="60">
        <v>1927040</v>
      </c>
      <c r="L64" s="50"/>
      <c r="M64" s="50"/>
      <c r="N64" s="51"/>
      <c r="O64" s="51"/>
    </row>
    <row r="65" spans="3:15" s="49" customFormat="1" ht="15" customHeight="1" x14ac:dyDescent="0.3">
      <c r="C65" s="39"/>
      <c r="D65" s="41"/>
      <c r="E65" s="53" t="s">
        <v>189</v>
      </c>
      <c r="F65" s="53" t="s">
        <v>130</v>
      </c>
      <c r="G65" s="52" t="s">
        <v>138</v>
      </c>
      <c r="H65" s="52" t="s">
        <v>128</v>
      </c>
      <c r="I65" s="53" t="s">
        <v>241</v>
      </c>
      <c r="J65" s="58" t="s">
        <v>242</v>
      </c>
      <c r="K65" s="60">
        <v>10000000</v>
      </c>
      <c r="L65" s="50"/>
      <c r="M65" s="50"/>
      <c r="N65" s="51"/>
      <c r="O65" s="51"/>
    </row>
    <row r="66" spans="3:15" s="49" customFormat="1" ht="15" customHeight="1" x14ac:dyDescent="0.3">
      <c r="C66" s="39"/>
      <c r="D66" s="41"/>
      <c r="E66" s="53" t="s">
        <v>189</v>
      </c>
      <c r="F66" s="53" t="s">
        <v>130</v>
      </c>
      <c r="G66" s="52" t="s">
        <v>268</v>
      </c>
      <c r="H66" s="52" t="s">
        <v>140</v>
      </c>
      <c r="I66" s="42" t="s">
        <v>262</v>
      </c>
      <c r="J66" s="43" t="s">
        <v>277</v>
      </c>
      <c r="K66" s="60">
        <v>427500</v>
      </c>
      <c r="L66" s="50"/>
      <c r="M66" s="50"/>
      <c r="N66" s="51"/>
      <c r="O66" s="51"/>
    </row>
    <row r="67" spans="3:15" s="49" customFormat="1" ht="15" customHeight="1" x14ac:dyDescent="0.3">
      <c r="C67" s="39"/>
      <c r="D67" s="41"/>
      <c r="E67" s="53" t="s">
        <v>222</v>
      </c>
      <c r="F67" s="53" t="s">
        <v>130</v>
      </c>
      <c r="G67" s="52" t="s">
        <v>221</v>
      </c>
      <c r="H67" s="52" t="s">
        <v>128</v>
      </c>
      <c r="I67" s="53" t="s">
        <v>223</v>
      </c>
      <c r="J67" s="57" t="s">
        <v>216</v>
      </c>
      <c r="K67" s="60">
        <v>13360400</v>
      </c>
      <c r="L67" s="50"/>
      <c r="M67" s="50"/>
      <c r="N67" s="51"/>
      <c r="O67" s="51"/>
    </row>
    <row r="68" spans="3:15" s="49" customFormat="1" ht="15" customHeight="1" x14ac:dyDescent="0.3">
      <c r="C68" s="39"/>
      <c r="D68" s="41"/>
      <c r="E68" s="53" t="s">
        <v>190</v>
      </c>
      <c r="F68" s="53" t="s">
        <v>130</v>
      </c>
      <c r="G68" s="52" t="s">
        <v>159</v>
      </c>
      <c r="H68" s="52" t="s">
        <v>152</v>
      </c>
      <c r="I68" s="42" t="s">
        <v>262</v>
      </c>
      <c r="J68" s="43" t="s">
        <v>263</v>
      </c>
      <c r="K68" s="60">
        <v>6515670</v>
      </c>
      <c r="L68" s="50"/>
      <c r="M68" s="50"/>
      <c r="N68" s="51"/>
      <c r="O68" s="51"/>
    </row>
    <row r="69" spans="3:15" s="49" customFormat="1" ht="15" customHeight="1" x14ac:dyDescent="0.3">
      <c r="C69" s="39"/>
      <c r="D69" s="41"/>
      <c r="E69" s="53" t="s">
        <v>189</v>
      </c>
      <c r="F69" s="53" t="s">
        <v>130</v>
      </c>
      <c r="G69" s="52" t="s">
        <v>204</v>
      </c>
      <c r="H69" s="52" t="s">
        <v>205</v>
      </c>
      <c r="I69" s="42" t="s">
        <v>237</v>
      </c>
      <c r="J69" s="43" t="s">
        <v>238</v>
      </c>
      <c r="K69" s="60">
        <v>1460942</v>
      </c>
      <c r="L69" s="50"/>
      <c r="M69" s="50"/>
      <c r="N69" s="51"/>
      <c r="O69" s="51"/>
    </row>
    <row r="70" spans="3:15" s="49" customFormat="1" ht="15" customHeight="1" x14ac:dyDescent="0.3">
      <c r="C70" s="39"/>
      <c r="D70" s="41"/>
      <c r="E70" s="53" t="s">
        <v>230</v>
      </c>
      <c r="F70" s="53" t="s">
        <v>231</v>
      </c>
      <c r="G70" s="52" t="s">
        <v>264</v>
      </c>
      <c r="H70" s="52" t="s">
        <v>140</v>
      </c>
      <c r="I70" s="42" t="s">
        <v>237</v>
      </c>
      <c r="J70" s="43" t="s">
        <v>238</v>
      </c>
      <c r="K70" s="60">
        <v>1292000</v>
      </c>
      <c r="L70" s="50"/>
      <c r="M70" s="50"/>
      <c r="N70" s="51"/>
      <c r="O70" s="51"/>
    </row>
    <row r="71" spans="3:15" s="49" customFormat="1" ht="15" customHeight="1" x14ac:dyDescent="0.3">
      <c r="C71" s="39"/>
      <c r="D71" s="41"/>
      <c r="E71" s="53" t="s">
        <v>190</v>
      </c>
      <c r="F71" s="53" t="s">
        <v>227</v>
      </c>
      <c r="G71" s="52" t="s">
        <v>280</v>
      </c>
      <c r="H71" s="52" t="s">
        <v>281</v>
      </c>
      <c r="I71" s="42" t="s">
        <v>262</v>
      </c>
      <c r="J71" s="43" t="s">
        <v>277</v>
      </c>
      <c r="K71" s="60">
        <v>2000000</v>
      </c>
      <c r="L71" s="50"/>
      <c r="M71" s="50"/>
      <c r="N71" s="51"/>
      <c r="O71" s="51"/>
    </row>
    <row r="72" spans="3:15" s="49" customFormat="1" ht="15" customHeight="1" x14ac:dyDescent="0.3">
      <c r="C72" s="39"/>
      <c r="D72" s="41"/>
      <c r="E72" s="53" t="s">
        <v>190</v>
      </c>
      <c r="F72" s="53" t="s">
        <v>227</v>
      </c>
      <c r="G72" s="52" t="s">
        <v>282</v>
      </c>
      <c r="H72" s="52" t="s">
        <v>283</v>
      </c>
      <c r="I72" s="42" t="s">
        <v>262</v>
      </c>
      <c r="J72" s="43" t="s">
        <v>277</v>
      </c>
      <c r="K72" s="60">
        <v>1700000</v>
      </c>
      <c r="L72" s="50"/>
      <c r="M72" s="50"/>
      <c r="N72" s="51"/>
      <c r="O72" s="51"/>
    </row>
    <row r="73" spans="3:15" s="49" customFormat="1" ht="15" customHeight="1" x14ac:dyDescent="0.3">
      <c r="C73" s="39"/>
      <c r="D73" s="41"/>
      <c r="E73" s="53" t="s">
        <v>190</v>
      </c>
      <c r="F73" s="53" t="s">
        <v>130</v>
      </c>
      <c r="G73" s="52" t="s">
        <v>214</v>
      </c>
      <c r="H73" s="46" t="s">
        <v>215</v>
      </c>
      <c r="I73" s="42" t="s">
        <v>237</v>
      </c>
      <c r="J73" s="43" t="s">
        <v>238</v>
      </c>
      <c r="K73" s="64">
        <v>654360</v>
      </c>
      <c r="L73" s="50"/>
      <c r="M73" s="50"/>
      <c r="N73" s="51"/>
      <c r="O73" s="51"/>
    </row>
    <row r="74" spans="3:15" s="49" customFormat="1" ht="15" customHeight="1" x14ac:dyDescent="0.3">
      <c r="C74" s="39"/>
      <c r="D74" s="41"/>
      <c r="E74" s="53" t="s">
        <v>189</v>
      </c>
      <c r="F74" s="53" t="s">
        <v>130</v>
      </c>
      <c r="G74" s="52" t="s">
        <v>287</v>
      </c>
      <c r="H74" s="46" t="s">
        <v>288</v>
      </c>
      <c r="I74" s="42" t="s">
        <v>237</v>
      </c>
      <c r="J74" s="43" t="s">
        <v>286</v>
      </c>
      <c r="K74" s="64">
        <v>15206625</v>
      </c>
      <c r="L74" s="50"/>
      <c r="M74" s="50"/>
      <c r="N74" s="51"/>
      <c r="O74" s="51"/>
    </row>
    <row r="75" spans="3:15" s="49" customFormat="1" ht="15" customHeight="1" x14ac:dyDescent="0.3">
      <c r="C75" s="39"/>
      <c r="D75" s="41"/>
      <c r="E75" s="53" t="s">
        <v>189</v>
      </c>
      <c r="F75" s="53" t="s">
        <v>130</v>
      </c>
      <c r="G75" s="52" t="s">
        <v>289</v>
      </c>
      <c r="H75" s="46" t="s">
        <v>290</v>
      </c>
      <c r="I75" s="42"/>
      <c r="J75" s="43"/>
      <c r="K75" s="64">
        <v>8000000</v>
      </c>
      <c r="L75" s="50"/>
      <c r="M75" s="50"/>
      <c r="N75" s="51"/>
      <c r="O75" s="51"/>
    </row>
    <row r="76" spans="3:15" s="49" customFormat="1" ht="15" customHeight="1" x14ac:dyDescent="0.3">
      <c r="C76" s="39"/>
      <c r="D76" s="41"/>
      <c r="E76" s="53" t="s">
        <v>189</v>
      </c>
      <c r="F76" s="53" t="s">
        <v>130</v>
      </c>
      <c r="G76" s="52" t="s">
        <v>291</v>
      </c>
      <c r="H76" s="46" t="s">
        <v>292</v>
      </c>
      <c r="I76" s="42" t="s">
        <v>232</v>
      </c>
      <c r="J76" s="43" t="s">
        <v>293</v>
      </c>
      <c r="K76" s="64">
        <v>21945000</v>
      </c>
      <c r="L76" s="50"/>
      <c r="M76" s="50"/>
      <c r="N76" s="51"/>
      <c r="O76" s="51"/>
    </row>
    <row r="77" spans="3:15" s="49" customFormat="1" ht="15" customHeight="1" x14ac:dyDescent="0.3">
      <c r="C77" s="39"/>
      <c r="D77" s="41"/>
      <c r="E77" s="53" t="s">
        <v>294</v>
      </c>
      <c r="F77" s="53" t="s">
        <v>295</v>
      </c>
      <c r="G77" s="52" t="s">
        <v>296</v>
      </c>
      <c r="H77" s="73" t="s">
        <v>297</v>
      </c>
      <c r="I77" s="74" t="s">
        <v>237</v>
      </c>
      <c r="J77" s="43" t="s">
        <v>298</v>
      </c>
      <c r="K77" s="75">
        <v>4950000</v>
      </c>
      <c r="L77" s="50"/>
      <c r="M77" s="50"/>
      <c r="N77" s="51"/>
      <c r="O77" s="51"/>
    </row>
    <row r="78" spans="3:15" s="49" customFormat="1" ht="15" customHeight="1" x14ac:dyDescent="0.3">
      <c r="C78" s="39"/>
      <c r="D78" s="41"/>
      <c r="E78" s="53" t="s">
        <v>299</v>
      </c>
      <c r="F78" s="53" t="s">
        <v>130</v>
      </c>
      <c r="G78" s="52" t="s">
        <v>300</v>
      </c>
      <c r="H78" s="46" t="s">
        <v>301</v>
      </c>
      <c r="I78" s="42" t="s">
        <v>239</v>
      </c>
      <c r="J78" s="43" t="s">
        <v>238</v>
      </c>
      <c r="K78" s="64">
        <v>8250000</v>
      </c>
      <c r="L78" s="50"/>
      <c r="M78" s="50"/>
      <c r="N78" s="51"/>
      <c r="O78" s="51"/>
    </row>
    <row r="79" spans="3:15" s="49" customFormat="1" ht="15" customHeight="1" x14ac:dyDescent="0.3">
      <c r="C79" s="39"/>
      <c r="D79" s="41"/>
      <c r="E79" s="68" t="s">
        <v>213</v>
      </c>
      <c r="F79" s="53" t="s">
        <v>130</v>
      </c>
      <c r="G79" s="62" t="s">
        <v>302</v>
      </c>
      <c r="H79" s="46" t="s">
        <v>301</v>
      </c>
      <c r="I79" s="42" t="s">
        <v>237</v>
      </c>
      <c r="J79" s="43" t="s">
        <v>238</v>
      </c>
      <c r="K79" s="64">
        <v>470000</v>
      </c>
      <c r="L79" s="50"/>
      <c r="M79" s="50"/>
      <c r="N79" s="51"/>
      <c r="O79" s="51"/>
    </row>
    <row r="80" spans="3:15" s="49" customFormat="1" ht="15" customHeight="1" x14ac:dyDescent="0.3">
      <c r="C80" s="39"/>
      <c r="D80" s="41"/>
      <c r="E80" s="68" t="s">
        <v>303</v>
      </c>
      <c r="F80" s="53" t="s">
        <v>130</v>
      </c>
      <c r="G80" s="62" t="s">
        <v>304</v>
      </c>
      <c r="H80" s="73" t="s">
        <v>305</v>
      </c>
      <c r="I80" s="42" t="s">
        <v>241</v>
      </c>
      <c r="J80" s="43" t="s">
        <v>238</v>
      </c>
      <c r="K80" s="64">
        <v>693000</v>
      </c>
      <c r="L80" s="50"/>
      <c r="M80" s="50"/>
      <c r="N80" s="51"/>
      <c r="O80" s="51"/>
    </row>
    <row r="81" spans="3:15" s="49" customFormat="1" ht="15" customHeight="1" x14ac:dyDescent="0.3">
      <c r="C81" s="39"/>
      <c r="D81" s="41"/>
      <c r="E81" s="53" t="s">
        <v>306</v>
      </c>
      <c r="F81" s="53" t="s">
        <v>130</v>
      </c>
      <c r="G81" s="52" t="s">
        <v>307</v>
      </c>
      <c r="H81" s="52" t="s">
        <v>308</v>
      </c>
      <c r="I81" s="53" t="s">
        <v>237</v>
      </c>
      <c r="J81" s="58" t="s">
        <v>286</v>
      </c>
      <c r="K81" s="60">
        <v>201250</v>
      </c>
      <c r="L81" s="50"/>
      <c r="M81" s="50"/>
      <c r="N81" s="51"/>
      <c r="O81" s="51"/>
    </row>
    <row r="82" spans="3:15" ht="15" customHeight="1" x14ac:dyDescent="0.3">
      <c r="C82" s="37"/>
      <c r="D82" s="36"/>
      <c r="E82" s="79" t="s">
        <v>34</v>
      </c>
      <c r="F82" s="80"/>
      <c r="G82" s="80"/>
      <c r="H82" s="80"/>
      <c r="I82" s="80"/>
      <c r="J82" s="81"/>
      <c r="K82" s="17">
        <f>SUM(K26:K81)</f>
        <v>289990461</v>
      </c>
      <c r="L82" s="3"/>
      <c r="M82" s="3"/>
      <c r="N82" s="2"/>
      <c r="O82" s="2"/>
    </row>
    <row r="83" spans="3:15" ht="15" customHeight="1" thickBot="1" x14ac:dyDescent="0.35">
      <c r="C83" s="38"/>
      <c r="D83" s="106" t="s">
        <v>46</v>
      </c>
      <c r="E83" s="107"/>
      <c r="F83" s="107"/>
      <c r="G83" s="107"/>
      <c r="H83" s="107"/>
      <c r="I83" s="107"/>
      <c r="J83" s="108"/>
      <c r="K83" s="30">
        <f>K20+K25+K82</f>
        <v>1188166984</v>
      </c>
      <c r="L83" s="3"/>
      <c r="M83" s="3"/>
      <c r="N83" s="2"/>
      <c r="O83" s="2"/>
    </row>
    <row r="84" spans="3:15" ht="20.100000000000001" customHeight="1" x14ac:dyDescent="0.3">
      <c r="C84" s="3"/>
      <c r="D84" s="6"/>
      <c r="E84" s="6"/>
      <c r="F84" s="6"/>
      <c r="G84" s="6"/>
      <c r="H84" s="47"/>
      <c r="I84" s="6"/>
      <c r="J84" s="6"/>
      <c r="K84" s="6"/>
      <c r="L84" s="3"/>
      <c r="M84" s="3"/>
      <c r="N84" s="2"/>
      <c r="O84" s="2"/>
    </row>
    <row r="85" spans="3:15" ht="20.100000000000001" customHeight="1" x14ac:dyDescent="0.3">
      <c r="C85" s="3"/>
      <c r="D85" s="6"/>
      <c r="E85" s="6"/>
      <c r="F85" s="6"/>
      <c r="G85" s="6"/>
      <c r="H85" s="47"/>
      <c r="I85" s="6"/>
      <c r="J85" s="6"/>
      <c r="K85" s="6"/>
      <c r="L85" s="3"/>
      <c r="M85" s="3"/>
      <c r="N85" s="2"/>
      <c r="O85" s="2"/>
    </row>
    <row r="86" spans="3:15" ht="20.100000000000001" customHeight="1" x14ac:dyDescent="0.3">
      <c r="C86" s="3"/>
      <c r="D86" s="6"/>
      <c r="E86" s="6"/>
      <c r="F86" s="6"/>
      <c r="G86" s="6"/>
      <c r="H86" s="47"/>
      <c r="I86" s="6"/>
      <c r="J86" s="6"/>
      <c r="K86" s="6"/>
      <c r="L86" s="3"/>
      <c r="M86" s="3"/>
      <c r="N86" s="2"/>
      <c r="O86" s="2"/>
    </row>
    <row r="87" spans="3:15" ht="20.100000000000001" customHeight="1" x14ac:dyDescent="0.3">
      <c r="C87" s="3"/>
      <c r="D87" s="6"/>
      <c r="E87" s="6"/>
      <c r="F87" s="6"/>
      <c r="G87" s="6"/>
      <c r="H87" s="47"/>
      <c r="I87" s="6"/>
      <c r="J87" s="6"/>
      <c r="K87" s="6"/>
      <c r="L87" s="3"/>
      <c r="M87" s="3"/>
      <c r="N87" s="2"/>
      <c r="O87" s="2"/>
    </row>
    <row r="88" spans="3:15" ht="20.100000000000001" customHeight="1" x14ac:dyDescent="0.3">
      <c r="C88" s="3"/>
      <c r="D88" s="6"/>
      <c r="E88" s="6"/>
      <c r="F88" s="6"/>
      <c r="G88" s="6"/>
      <c r="H88" s="47"/>
      <c r="I88" s="6"/>
      <c r="J88" s="6"/>
      <c r="K88" s="6"/>
      <c r="L88" s="3"/>
      <c r="M88" s="3"/>
      <c r="N88" s="2"/>
      <c r="O88" s="2"/>
    </row>
    <row r="89" spans="3:15" ht="20.100000000000001" customHeight="1" x14ac:dyDescent="0.3">
      <c r="C89" s="3"/>
      <c r="D89" s="6"/>
      <c r="E89" s="6"/>
      <c r="F89" s="6"/>
      <c r="G89" s="6"/>
      <c r="H89" s="47"/>
      <c r="I89" s="6"/>
      <c r="J89" s="6"/>
      <c r="K89" s="6"/>
      <c r="L89" s="3"/>
      <c r="M89" s="3"/>
      <c r="N89" s="2"/>
      <c r="O89" s="2"/>
    </row>
    <row r="90" spans="3:15" ht="20.100000000000001" customHeight="1" x14ac:dyDescent="0.3">
      <c r="C90" s="3"/>
      <c r="D90" s="6"/>
      <c r="E90" s="6"/>
      <c r="F90" s="6"/>
      <c r="G90" s="6"/>
      <c r="H90" s="47"/>
      <c r="I90" s="6"/>
      <c r="J90" s="6"/>
      <c r="K90" s="6"/>
      <c r="L90" s="3"/>
      <c r="M90" s="3"/>
      <c r="N90" s="2"/>
      <c r="O90" s="2"/>
    </row>
    <row r="91" spans="3:15" ht="20.100000000000001" customHeight="1" x14ac:dyDescent="0.3">
      <c r="C91" s="3"/>
      <c r="D91" s="6"/>
      <c r="E91" s="6"/>
      <c r="F91" s="6"/>
      <c r="G91" s="6"/>
      <c r="H91" s="47"/>
      <c r="I91" s="6"/>
      <c r="J91" s="6"/>
      <c r="K91" s="6"/>
      <c r="L91" s="3"/>
      <c r="M91" s="3"/>
      <c r="N91" s="2"/>
      <c r="O91" s="2"/>
    </row>
    <row r="92" spans="3:15" ht="20.100000000000001" customHeight="1" x14ac:dyDescent="0.3">
      <c r="C92" s="3"/>
      <c r="D92" s="6"/>
      <c r="E92" s="6"/>
      <c r="F92" s="6"/>
      <c r="G92" s="6"/>
      <c r="H92" s="47"/>
      <c r="I92" s="6"/>
      <c r="J92" s="6"/>
      <c r="K92" s="6"/>
      <c r="L92" s="3"/>
      <c r="M92" s="3"/>
      <c r="N92" s="2"/>
      <c r="O92" s="2"/>
    </row>
    <row r="93" spans="3:15" ht="20.100000000000001" customHeight="1" x14ac:dyDescent="0.3">
      <c r="C93" s="3"/>
      <c r="D93" s="3"/>
      <c r="E93" s="3"/>
      <c r="F93" s="3"/>
      <c r="G93" s="6"/>
      <c r="H93" s="47"/>
      <c r="I93" s="6"/>
      <c r="J93" s="6"/>
      <c r="K93" s="6"/>
      <c r="L93" s="3"/>
      <c r="M93" s="3"/>
      <c r="N93" s="2"/>
      <c r="O93" s="2"/>
    </row>
    <row r="94" spans="3:15" ht="20.100000000000001" customHeight="1" x14ac:dyDescent="0.3">
      <c r="C94" s="3"/>
      <c r="D94" s="3"/>
      <c r="E94" s="3"/>
      <c r="F94" s="3"/>
      <c r="G94" s="6"/>
      <c r="H94" s="47"/>
      <c r="I94" s="6"/>
      <c r="J94" s="6"/>
      <c r="K94" s="6"/>
      <c r="L94" s="3"/>
      <c r="M94" s="3"/>
      <c r="N94" s="2"/>
      <c r="O94" s="2"/>
    </row>
    <row r="95" spans="3:15" ht="20.100000000000001" customHeight="1" x14ac:dyDescent="0.3">
      <c r="C95" s="3"/>
      <c r="D95" s="3"/>
      <c r="E95" s="3"/>
      <c r="F95" s="3"/>
      <c r="G95" s="6"/>
      <c r="H95" s="47"/>
      <c r="I95" s="6"/>
      <c r="J95" s="6"/>
      <c r="K95" s="6"/>
      <c r="L95" s="3"/>
      <c r="M95" s="3"/>
      <c r="N95" s="2"/>
      <c r="O95" s="2"/>
    </row>
    <row r="96" spans="3:15" ht="20.100000000000001" customHeight="1" x14ac:dyDescent="0.3">
      <c r="C96" s="3"/>
      <c r="D96" s="3"/>
      <c r="E96" s="3"/>
      <c r="F96" s="3"/>
      <c r="G96" s="6"/>
      <c r="H96" s="47"/>
      <c r="I96" s="6"/>
      <c r="J96" s="6"/>
      <c r="K96" s="6"/>
      <c r="L96" s="3"/>
      <c r="M96" s="3"/>
      <c r="N96" s="2"/>
      <c r="O96" s="2"/>
    </row>
    <row r="97" spans="3:15" ht="20.100000000000001" customHeight="1" x14ac:dyDescent="0.3">
      <c r="C97" s="3"/>
      <c r="D97" s="3"/>
      <c r="E97" s="3"/>
      <c r="F97" s="3"/>
      <c r="G97" s="6"/>
      <c r="H97" s="47"/>
      <c r="I97" s="6"/>
      <c r="J97" s="6"/>
      <c r="K97" s="6"/>
      <c r="L97" s="3"/>
      <c r="M97" s="3"/>
      <c r="N97" s="2"/>
      <c r="O97" s="2"/>
    </row>
    <row r="98" spans="3:15" ht="20.100000000000001" customHeight="1" x14ac:dyDescent="0.3">
      <c r="C98" s="3"/>
      <c r="D98" s="3"/>
      <c r="E98" s="3"/>
      <c r="F98" s="3"/>
      <c r="G98" s="6"/>
      <c r="H98" s="47"/>
      <c r="I98" s="6"/>
      <c r="J98" s="6"/>
      <c r="K98" s="6"/>
      <c r="L98" s="3"/>
      <c r="M98" s="3"/>
      <c r="N98" s="2"/>
      <c r="O98" s="2"/>
    </row>
    <row r="99" spans="3:15" ht="20.100000000000001" customHeight="1" x14ac:dyDescent="0.3">
      <c r="C99" s="3"/>
      <c r="D99" s="3"/>
      <c r="E99" s="3"/>
      <c r="F99" s="3"/>
      <c r="G99" s="6"/>
      <c r="H99" s="47"/>
      <c r="I99" s="6"/>
      <c r="J99" s="6"/>
      <c r="K99" s="6"/>
      <c r="L99" s="3"/>
      <c r="M99" s="3"/>
      <c r="N99" s="2"/>
      <c r="O99" s="2"/>
    </row>
    <row r="100" spans="3:15" ht="20.100000000000001" customHeight="1" x14ac:dyDescent="0.3">
      <c r="C100" s="3"/>
      <c r="D100" s="3"/>
      <c r="E100" s="3"/>
      <c r="F100" s="3"/>
      <c r="G100" s="6"/>
      <c r="H100" s="47"/>
      <c r="I100" s="6"/>
      <c r="J100" s="6"/>
      <c r="K100" s="6"/>
      <c r="L100" s="3"/>
      <c r="M100" s="3"/>
      <c r="N100" s="2"/>
      <c r="O100" s="2"/>
    </row>
    <row r="101" spans="3:15" ht="20.100000000000001" customHeight="1" x14ac:dyDescent="0.3">
      <c r="C101" s="2"/>
      <c r="D101" s="2"/>
      <c r="E101" s="2"/>
      <c r="F101" s="2"/>
      <c r="G101" s="5"/>
      <c r="H101" s="48"/>
      <c r="I101" s="5"/>
      <c r="J101" s="5"/>
      <c r="K101" s="5"/>
      <c r="L101" s="2"/>
      <c r="M101" s="2"/>
      <c r="N101" s="2"/>
      <c r="O101" s="2"/>
    </row>
    <row r="102" spans="3:15" ht="20.100000000000001" customHeight="1" x14ac:dyDescent="0.3"/>
    <row r="103" spans="3:15" ht="20.100000000000001" customHeight="1" x14ac:dyDescent="0.3"/>
    <row r="104" spans="3:15" ht="20.100000000000001" customHeight="1" x14ac:dyDescent="0.3"/>
    <row r="105" spans="3:15" ht="20.100000000000001" customHeight="1" x14ac:dyDescent="0.3"/>
    <row r="106" spans="3:15" ht="20.100000000000001" customHeight="1" x14ac:dyDescent="0.3"/>
    <row r="107" spans="3:15" ht="20.100000000000001" customHeight="1" x14ac:dyDescent="0.3"/>
  </sheetData>
  <mergeCells count="5">
    <mergeCell ref="E20:J20"/>
    <mergeCell ref="D4:D20"/>
    <mergeCell ref="D83:J83"/>
    <mergeCell ref="E25:J25"/>
    <mergeCell ref="E82:J82"/>
  </mergeCells>
  <phoneticPr fontId="1" type="noConversion"/>
  <printOptions horizontalCentered="1" verticalCentered="1"/>
  <pageMargins left="0.39370078740157483" right="0.39370078740157483" top="0.19685039370078741" bottom="0.19685039370078741" header="0" footer="0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1"/>
  <sheetViews>
    <sheetView showGridLines="0" workbookViewId="0">
      <selection activeCell="P20" sqref="P20"/>
    </sheetView>
  </sheetViews>
  <sheetFormatPr defaultRowHeight="16.5" x14ac:dyDescent="0.3"/>
  <cols>
    <col min="1" max="2" width="0.875" customWidth="1"/>
    <col min="3" max="4" width="4.625" customWidth="1"/>
    <col min="5" max="5" width="19.625" customWidth="1"/>
    <col min="6" max="6" width="19" customWidth="1"/>
    <col min="7" max="7" width="26.5" customWidth="1"/>
    <col min="8" max="11" width="12.625" customWidth="1"/>
    <col min="12" max="12" width="0.875" customWidth="1"/>
  </cols>
  <sheetData>
    <row r="1" spans="2:17" ht="11.25" customHeight="1" x14ac:dyDescent="0.3"/>
    <row r="2" spans="2:17" ht="24.75" customHeight="1" thickBot="1" x14ac:dyDescent="0.35">
      <c r="B2" s="1" t="s">
        <v>49</v>
      </c>
    </row>
    <row r="3" spans="2:17" ht="18.95" customHeight="1" x14ac:dyDescent="0.3">
      <c r="C3" s="7" t="s">
        <v>44</v>
      </c>
      <c r="D3" s="8" t="s">
        <v>1</v>
      </c>
      <c r="E3" s="8" t="s">
        <v>2</v>
      </c>
      <c r="F3" s="8" t="s">
        <v>3</v>
      </c>
      <c r="G3" s="8" t="s">
        <v>4</v>
      </c>
      <c r="H3" s="8" t="s">
        <v>43</v>
      </c>
      <c r="I3" s="8" t="s">
        <v>11</v>
      </c>
      <c r="J3" s="9" t="s">
        <v>40</v>
      </c>
      <c r="K3" s="14" t="s">
        <v>5</v>
      </c>
      <c r="L3" s="3"/>
      <c r="M3" s="3"/>
      <c r="N3" s="3"/>
      <c r="O3" s="3"/>
      <c r="P3" s="2"/>
      <c r="Q3" s="2"/>
    </row>
    <row r="4" spans="2:17" ht="18.95" customHeight="1" x14ac:dyDescent="0.3">
      <c r="C4" s="120" t="s">
        <v>50</v>
      </c>
      <c r="D4" s="98" t="s">
        <v>51</v>
      </c>
      <c r="E4" s="24" t="s">
        <v>62</v>
      </c>
      <c r="F4" s="10"/>
      <c r="G4" s="10"/>
      <c r="H4" s="10" t="s">
        <v>63</v>
      </c>
      <c r="I4" s="10"/>
      <c r="J4" s="11"/>
      <c r="K4" s="15"/>
      <c r="L4" s="3"/>
      <c r="M4" s="3"/>
      <c r="N4" s="3"/>
      <c r="O4" s="3"/>
      <c r="P4" s="2"/>
      <c r="Q4" s="2"/>
    </row>
    <row r="5" spans="2:17" ht="18.95" customHeight="1" x14ac:dyDescent="0.3">
      <c r="C5" s="121"/>
      <c r="D5" s="99"/>
      <c r="E5" s="25" t="s">
        <v>53</v>
      </c>
      <c r="F5" s="12"/>
      <c r="G5" s="12"/>
      <c r="H5" s="12"/>
      <c r="I5" s="12"/>
      <c r="J5" s="13"/>
      <c r="K5" s="16"/>
      <c r="L5" s="3"/>
      <c r="M5" s="3"/>
      <c r="N5" s="3"/>
      <c r="O5" s="3"/>
      <c r="P5" s="2"/>
      <c r="Q5" s="2"/>
    </row>
    <row r="6" spans="2:17" ht="18.95" customHeight="1" x14ac:dyDescent="0.3">
      <c r="C6" s="121"/>
      <c r="D6" s="99"/>
      <c r="E6" s="25" t="s">
        <v>54</v>
      </c>
      <c r="F6" s="12"/>
      <c r="G6" s="12"/>
      <c r="H6" s="12"/>
      <c r="I6" s="12"/>
      <c r="J6" s="13"/>
      <c r="K6" s="16"/>
      <c r="L6" s="3"/>
      <c r="M6" s="3"/>
      <c r="N6" s="3"/>
      <c r="O6" s="3"/>
      <c r="P6" s="2"/>
      <c r="Q6" s="2"/>
    </row>
    <row r="7" spans="2:17" ht="18.95" customHeight="1" x14ac:dyDescent="0.3">
      <c r="C7" s="121"/>
      <c r="D7" s="99"/>
      <c r="E7" s="25" t="s">
        <v>55</v>
      </c>
      <c r="F7" s="12"/>
      <c r="G7" s="12"/>
      <c r="H7" s="12"/>
      <c r="I7" s="12"/>
      <c r="J7" s="13"/>
      <c r="K7" s="16"/>
      <c r="L7" s="3"/>
      <c r="M7" s="3"/>
      <c r="N7" s="3"/>
      <c r="O7" s="3"/>
      <c r="P7" s="2"/>
      <c r="Q7" s="2"/>
    </row>
    <row r="8" spans="2:17" ht="18.95" customHeight="1" x14ac:dyDescent="0.3">
      <c r="C8" s="121"/>
      <c r="D8" s="99"/>
      <c r="E8" s="25" t="s">
        <v>56</v>
      </c>
      <c r="F8" s="12"/>
      <c r="G8" s="12"/>
      <c r="H8" s="12"/>
      <c r="I8" s="12"/>
      <c r="J8" s="13"/>
      <c r="K8" s="16"/>
      <c r="L8" s="3"/>
      <c r="M8" s="3"/>
      <c r="N8" s="3"/>
      <c r="O8" s="3"/>
      <c r="P8" s="2"/>
      <c r="Q8" s="2"/>
    </row>
    <row r="9" spans="2:17" ht="18.95" customHeight="1" x14ac:dyDescent="0.3">
      <c r="C9" s="121"/>
      <c r="D9" s="99"/>
      <c r="E9" s="25" t="s">
        <v>57</v>
      </c>
      <c r="F9" s="12"/>
      <c r="G9" s="12"/>
      <c r="H9" s="12"/>
      <c r="I9" s="12"/>
      <c r="J9" s="13"/>
      <c r="K9" s="16"/>
      <c r="L9" s="3"/>
      <c r="M9" s="3"/>
      <c r="N9" s="3"/>
      <c r="O9" s="3"/>
      <c r="P9" s="2"/>
      <c r="Q9" s="2"/>
    </row>
    <row r="10" spans="2:17" ht="18.95" customHeight="1" x14ac:dyDescent="0.3">
      <c r="C10" s="121"/>
      <c r="D10" s="99"/>
      <c r="E10" s="25" t="s">
        <v>58</v>
      </c>
      <c r="F10" s="12"/>
      <c r="G10" s="12"/>
      <c r="H10" s="12"/>
      <c r="I10" s="12"/>
      <c r="J10" s="13"/>
      <c r="K10" s="16"/>
      <c r="L10" s="3"/>
      <c r="M10" s="3"/>
      <c r="N10" s="3"/>
      <c r="O10" s="3"/>
      <c r="P10" s="2"/>
      <c r="Q10" s="2"/>
    </row>
    <row r="11" spans="2:17" ht="18.95" customHeight="1" x14ac:dyDescent="0.3">
      <c r="C11" s="121"/>
      <c r="D11" s="99"/>
      <c r="E11" s="25" t="s">
        <v>59</v>
      </c>
      <c r="F11" s="12"/>
      <c r="G11" s="12"/>
      <c r="H11" s="12"/>
      <c r="I11" s="12"/>
      <c r="J11" s="13"/>
      <c r="K11" s="16"/>
      <c r="L11" s="3"/>
      <c r="M11" s="3"/>
      <c r="N11" s="3"/>
      <c r="O11" s="3"/>
      <c r="P11" s="2"/>
      <c r="Q11" s="2"/>
    </row>
    <row r="12" spans="2:17" ht="18.95" customHeight="1" x14ac:dyDescent="0.3">
      <c r="C12" s="121"/>
      <c r="D12" s="99"/>
      <c r="E12" s="25" t="s">
        <v>60</v>
      </c>
      <c r="F12" s="12"/>
      <c r="G12" s="12"/>
      <c r="H12" s="12"/>
      <c r="I12" s="12"/>
      <c r="J12" s="13"/>
      <c r="K12" s="16"/>
      <c r="L12" s="3"/>
      <c r="M12" s="3"/>
      <c r="N12" s="3"/>
      <c r="O12" s="3"/>
      <c r="P12" s="2"/>
      <c r="Q12" s="2"/>
    </row>
    <row r="13" spans="2:17" ht="18.95" customHeight="1" x14ac:dyDescent="0.3">
      <c r="C13" s="121"/>
      <c r="D13" s="99"/>
      <c r="E13" s="25" t="s">
        <v>61</v>
      </c>
      <c r="F13" s="12"/>
      <c r="G13" s="12"/>
      <c r="H13" s="12"/>
      <c r="I13" s="12"/>
      <c r="J13" s="13"/>
      <c r="K13" s="16"/>
      <c r="L13" s="3"/>
      <c r="M13" s="3"/>
      <c r="N13" s="3"/>
      <c r="O13" s="3"/>
      <c r="P13" s="2"/>
      <c r="Q13" s="2"/>
    </row>
    <row r="14" spans="2:17" ht="18.95" customHeight="1" x14ac:dyDescent="0.3">
      <c r="C14" s="121"/>
      <c r="D14" s="99"/>
      <c r="E14" s="25" t="s">
        <v>64</v>
      </c>
      <c r="F14" s="12"/>
      <c r="G14" s="12"/>
      <c r="H14" s="12"/>
      <c r="I14" s="12"/>
      <c r="J14" s="13"/>
      <c r="K14" s="16"/>
      <c r="L14" s="3"/>
      <c r="M14" s="3"/>
      <c r="N14" s="3"/>
      <c r="O14" s="3"/>
      <c r="P14" s="2"/>
      <c r="Q14" s="2"/>
    </row>
    <row r="15" spans="2:17" ht="18.95" customHeight="1" x14ac:dyDescent="0.3">
      <c r="C15" s="121"/>
      <c r="D15" s="99"/>
      <c r="E15" s="79" t="s">
        <v>34</v>
      </c>
      <c r="F15" s="80"/>
      <c r="G15" s="80"/>
      <c r="H15" s="80"/>
      <c r="I15" s="80"/>
      <c r="J15" s="80"/>
      <c r="K15" s="17">
        <f>SUM(K4:K14)</f>
        <v>0</v>
      </c>
      <c r="L15" s="3"/>
      <c r="M15" s="3"/>
      <c r="N15" s="3"/>
      <c r="O15" s="3"/>
      <c r="P15" s="2"/>
      <c r="Q15" s="2"/>
    </row>
    <row r="16" spans="2:17" ht="18.95" customHeight="1" x14ac:dyDescent="0.3">
      <c r="C16" s="121"/>
      <c r="D16" s="104" t="s">
        <v>52</v>
      </c>
      <c r="E16" s="24" t="s">
        <v>62</v>
      </c>
      <c r="F16" s="10"/>
      <c r="G16" s="10"/>
      <c r="H16" s="10"/>
      <c r="I16" s="10"/>
      <c r="J16" s="11"/>
      <c r="K16" s="15"/>
      <c r="L16" s="3"/>
      <c r="M16" s="3"/>
      <c r="N16" s="3"/>
      <c r="O16" s="3"/>
      <c r="P16" s="2"/>
      <c r="Q16" s="2"/>
    </row>
    <row r="17" spans="3:17" ht="18.95" customHeight="1" x14ac:dyDescent="0.3">
      <c r="C17" s="121"/>
      <c r="D17" s="99"/>
      <c r="E17" s="25" t="s">
        <v>53</v>
      </c>
      <c r="F17" s="12"/>
      <c r="G17" s="12"/>
      <c r="H17" s="12"/>
      <c r="I17" s="12"/>
      <c r="J17" s="13"/>
      <c r="K17" s="16"/>
      <c r="L17" s="3"/>
      <c r="M17" s="3"/>
      <c r="N17" s="3"/>
      <c r="O17" s="3"/>
      <c r="P17" s="2"/>
      <c r="Q17" s="2"/>
    </row>
    <row r="18" spans="3:17" ht="18.95" customHeight="1" x14ac:dyDescent="0.3">
      <c r="C18" s="121"/>
      <c r="D18" s="99"/>
      <c r="E18" s="25" t="s">
        <v>54</v>
      </c>
      <c r="F18" s="12"/>
      <c r="G18" s="12"/>
      <c r="H18" s="12"/>
      <c r="I18" s="12"/>
      <c r="J18" s="13"/>
      <c r="K18" s="16"/>
      <c r="L18" s="3"/>
      <c r="M18" s="3"/>
      <c r="N18" s="3"/>
      <c r="O18" s="3"/>
      <c r="P18" s="2"/>
      <c r="Q18" s="2"/>
    </row>
    <row r="19" spans="3:17" ht="18.95" customHeight="1" x14ac:dyDescent="0.3">
      <c r="C19" s="121"/>
      <c r="D19" s="99"/>
      <c r="E19" s="25" t="s">
        <v>55</v>
      </c>
      <c r="F19" s="12"/>
      <c r="G19" s="12"/>
      <c r="H19" s="12"/>
      <c r="I19" s="12"/>
      <c r="J19" s="13"/>
      <c r="K19" s="16"/>
      <c r="L19" s="3"/>
      <c r="M19" s="3"/>
      <c r="N19" s="3"/>
      <c r="O19" s="3"/>
      <c r="P19" s="2"/>
      <c r="Q19" s="2"/>
    </row>
    <row r="20" spans="3:17" ht="18.95" customHeight="1" x14ac:dyDescent="0.3">
      <c r="C20" s="121"/>
      <c r="D20" s="99"/>
      <c r="E20" s="25" t="s">
        <v>56</v>
      </c>
      <c r="F20" s="12"/>
      <c r="G20" s="12"/>
      <c r="H20" s="12"/>
      <c r="I20" s="12"/>
      <c r="J20" s="13"/>
      <c r="K20" s="16"/>
      <c r="L20" s="3"/>
      <c r="M20" s="3"/>
      <c r="N20" s="3"/>
      <c r="O20" s="3"/>
      <c r="P20" s="2"/>
      <c r="Q20" s="2"/>
    </row>
    <row r="21" spans="3:17" ht="18.95" customHeight="1" x14ac:dyDescent="0.3">
      <c r="C21" s="121"/>
      <c r="D21" s="99"/>
      <c r="E21" s="25" t="s">
        <v>57</v>
      </c>
      <c r="F21" s="12"/>
      <c r="G21" s="12"/>
      <c r="H21" s="12"/>
      <c r="I21" s="12"/>
      <c r="J21" s="13"/>
      <c r="K21" s="16"/>
      <c r="L21" s="3"/>
      <c r="M21" s="3"/>
      <c r="N21" s="3"/>
      <c r="O21" s="3"/>
      <c r="P21" s="2"/>
      <c r="Q21" s="2"/>
    </row>
    <row r="22" spans="3:17" ht="18.95" customHeight="1" x14ac:dyDescent="0.3">
      <c r="C22" s="121"/>
      <c r="D22" s="99"/>
      <c r="E22" s="25" t="s">
        <v>58</v>
      </c>
      <c r="F22" s="12"/>
      <c r="G22" s="12"/>
      <c r="H22" s="12"/>
      <c r="I22" s="12"/>
      <c r="J22" s="13"/>
      <c r="K22" s="16"/>
      <c r="L22" s="3"/>
      <c r="M22" s="3"/>
      <c r="N22" s="3"/>
      <c r="O22" s="3"/>
      <c r="P22" s="2"/>
      <c r="Q22" s="2"/>
    </row>
    <row r="23" spans="3:17" ht="18.95" customHeight="1" x14ac:dyDescent="0.3">
      <c r="C23" s="121"/>
      <c r="D23" s="99"/>
      <c r="E23" s="25" t="s">
        <v>59</v>
      </c>
      <c r="F23" s="12"/>
      <c r="G23" s="12"/>
      <c r="H23" s="12"/>
      <c r="I23" s="12"/>
      <c r="J23" s="13"/>
      <c r="K23" s="16"/>
      <c r="L23" s="3"/>
      <c r="M23" s="3"/>
      <c r="N23" s="3"/>
      <c r="O23" s="3"/>
      <c r="P23" s="2"/>
      <c r="Q23" s="2"/>
    </row>
    <row r="24" spans="3:17" ht="18.95" customHeight="1" x14ac:dyDescent="0.3">
      <c r="C24" s="121"/>
      <c r="D24" s="99"/>
      <c r="E24" s="25" t="s">
        <v>60</v>
      </c>
      <c r="F24" s="12"/>
      <c r="G24" s="12"/>
      <c r="H24" s="12"/>
      <c r="I24" s="12"/>
      <c r="J24" s="13"/>
      <c r="K24" s="16"/>
      <c r="L24" s="3"/>
      <c r="M24" s="3"/>
      <c r="N24" s="3"/>
      <c r="O24" s="3"/>
      <c r="P24" s="2"/>
      <c r="Q24" s="2"/>
    </row>
    <row r="25" spans="3:17" ht="18.95" customHeight="1" x14ac:dyDescent="0.3">
      <c r="C25" s="121"/>
      <c r="D25" s="99"/>
      <c r="E25" s="25" t="s">
        <v>61</v>
      </c>
      <c r="F25" s="12"/>
      <c r="G25" s="12"/>
      <c r="H25" s="12"/>
      <c r="I25" s="12"/>
      <c r="J25" s="13"/>
      <c r="K25" s="16"/>
      <c r="L25" s="3"/>
      <c r="M25" s="3"/>
      <c r="N25" s="3"/>
      <c r="O25" s="3"/>
      <c r="P25" s="2"/>
      <c r="Q25" s="2"/>
    </row>
    <row r="26" spans="3:17" ht="18.95" customHeight="1" x14ac:dyDescent="0.3">
      <c r="C26" s="121"/>
      <c r="D26" s="99"/>
      <c r="E26" s="25" t="s">
        <v>64</v>
      </c>
      <c r="F26" s="12"/>
      <c r="G26" s="12"/>
      <c r="H26" s="12"/>
      <c r="I26" s="12"/>
      <c r="J26" s="13"/>
      <c r="K26" s="16"/>
      <c r="L26" s="3"/>
      <c r="M26" s="3"/>
      <c r="N26" s="3"/>
      <c r="O26" s="3"/>
      <c r="P26" s="2"/>
      <c r="Q26" s="2"/>
    </row>
    <row r="27" spans="3:17" ht="18.95" customHeight="1" x14ac:dyDescent="0.3">
      <c r="C27" s="121"/>
      <c r="D27" s="109"/>
      <c r="E27" s="118" t="s">
        <v>34</v>
      </c>
      <c r="F27" s="119"/>
      <c r="G27" s="119"/>
      <c r="H27" s="119"/>
      <c r="I27" s="119"/>
      <c r="J27" s="119"/>
      <c r="K27" s="18">
        <f>SUM(K16:K26)</f>
        <v>0</v>
      </c>
      <c r="L27" s="3"/>
      <c r="M27" s="3"/>
      <c r="N27" s="3"/>
      <c r="O27" s="3"/>
      <c r="P27" s="2"/>
      <c r="Q27" s="2"/>
    </row>
    <row r="28" spans="3:17" ht="18.95" customHeight="1" thickBot="1" x14ac:dyDescent="0.35">
      <c r="C28" s="122"/>
      <c r="D28" s="123" t="s">
        <v>65</v>
      </c>
      <c r="E28" s="124"/>
      <c r="F28" s="124"/>
      <c r="G28" s="124"/>
      <c r="H28" s="124"/>
      <c r="I28" s="124"/>
      <c r="J28" s="124"/>
      <c r="K28" s="26"/>
      <c r="L28" s="3"/>
      <c r="M28" s="3"/>
      <c r="N28" s="3"/>
      <c r="O28" s="3"/>
      <c r="P28" s="2"/>
      <c r="Q28" s="2"/>
    </row>
    <row r="29" spans="3:17" ht="20.100000000000001" customHeight="1" x14ac:dyDescent="0.3">
      <c r="C29" s="3"/>
      <c r="D29" s="6"/>
      <c r="E29" s="6"/>
      <c r="F29" s="6"/>
      <c r="G29" s="6"/>
      <c r="H29" s="6"/>
      <c r="I29" s="6"/>
      <c r="J29" s="6"/>
      <c r="K29" s="6"/>
      <c r="L29" s="3"/>
      <c r="M29" s="3"/>
      <c r="N29" s="3"/>
      <c r="O29" s="3"/>
      <c r="P29" s="2"/>
      <c r="Q29" s="2"/>
    </row>
    <row r="30" spans="3:17" ht="20.100000000000001" customHeight="1" x14ac:dyDescent="0.3">
      <c r="C30" s="3"/>
      <c r="D30" s="6"/>
      <c r="E30" s="6"/>
      <c r="F30" s="6"/>
      <c r="G30" s="6"/>
      <c r="H30" s="6"/>
      <c r="I30" s="6"/>
      <c r="J30" s="6"/>
      <c r="K30" s="6"/>
      <c r="L30" s="3"/>
      <c r="M30" s="3"/>
      <c r="N30" s="3"/>
      <c r="O30" s="3"/>
      <c r="P30" s="2"/>
      <c r="Q30" s="2"/>
    </row>
    <row r="31" spans="3:17" ht="20.100000000000001" customHeight="1" x14ac:dyDescent="0.3">
      <c r="C31" s="3"/>
      <c r="D31" s="6"/>
      <c r="E31" s="6"/>
      <c r="F31" s="6"/>
      <c r="G31" s="6"/>
      <c r="H31" s="6"/>
      <c r="I31" s="6"/>
      <c r="J31" s="6"/>
      <c r="K31" s="6"/>
      <c r="L31" s="3"/>
      <c r="M31" s="3"/>
      <c r="N31" s="3"/>
      <c r="O31" s="3"/>
      <c r="P31" s="2"/>
      <c r="Q31" s="2"/>
    </row>
    <row r="32" spans="3:17" ht="20.100000000000001" customHeight="1" x14ac:dyDescent="0.3">
      <c r="C32" s="3"/>
      <c r="D32" s="6"/>
      <c r="E32" s="6"/>
      <c r="F32" s="6"/>
      <c r="G32" s="6"/>
      <c r="H32" s="6"/>
      <c r="I32" s="6"/>
      <c r="J32" s="6"/>
      <c r="K32" s="6"/>
      <c r="L32" s="3"/>
      <c r="M32" s="3"/>
      <c r="N32" s="3"/>
      <c r="O32" s="3"/>
      <c r="P32" s="2"/>
      <c r="Q32" s="2"/>
    </row>
    <row r="33" spans="3:17" ht="20.100000000000001" customHeight="1" x14ac:dyDescent="0.3">
      <c r="C33" s="3"/>
      <c r="D33" s="6"/>
      <c r="E33" s="6"/>
      <c r="F33" s="6"/>
      <c r="G33" s="6"/>
      <c r="H33" s="6"/>
      <c r="I33" s="6"/>
      <c r="J33" s="6"/>
      <c r="K33" s="6"/>
      <c r="L33" s="3"/>
      <c r="M33" s="3"/>
      <c r="N33" s="3"/>
      <c r="O33" s="3"/>
      <c r="P33" s="2"/>
      <c r="Q33" s="2"/>
    </row>
    <row r="34" spans="3:17" ht="20.100000000000001" customHeight="1" x14ac:dyDescent="0.3">
      <c r="C34" s="3"/>
      <c r="D34" s="6"/>
      <c r="E34" s="6"/>
      <c r="F34" s="6"/>
      <c r="G34" s="6"/>
      <c r="H34" s="6"/>
      <c r="I34" s="6"/>
      <c r="J34" s="6"/>
      <c r="K34" s="6"/>
      <c r="L34" s="3"/>
      <c r="M34" s="3"/>
      <c r="N34" s="3"/>
      <c r="O34" s="3"/>
      <c r="P34" s="2"/>
      <c r="Q34" s="2"/>
    </row>
    <row r="35" spans="3:17" ht="20.100000000000001" customHeight="1" x14ac:dyDescent="0.3">
      <c r="C35" s="3"/>
      <c r="D35" s="6"/>
      <c r="E35" s="6"/>
      <c r="F35" s="6"/>
      <c r="G35" s="6"/>
      <c r="H35" s="6"/>
      <c r="I35" s="6"/>
      <c r="J35" s="6"/>
      <c r="K35" s="6"/>
      <c r="L35" s="3"/>
      <c r="M35" s="3"/>
      <c r="N35" s="3"/>
      <c r="O35" s="3"/>
      <c r="P35" s="2"/>
      <c r="Q35" s="2"/>
    </row>
    <row r="36" spans="3:17" ht="20.100000000000001" customHeight="1" x14ac:dyDescent="0.3">
      <c r="C36" s="3"/>
      <c r="D36" s="6"/>
      <c r="E36" s="6"/>
      <c r="F36" s="6"/>
      <c r="G36" s="6"/>
      <c r="H36" s="6"/>
      <c r="I36" s="6"/>
      <c r="J36" s="6"/>
      <c r="K36" s="6"/>
      <c r="L36" s="3"/>
      <c r="M36" s="3"/>
      <c r="N36" s="3"/>
      <c r="O36" s="3"/>
      <c r="P36" s="2"/>
      <c r="Q36" s="2"/>
    </row>
    <row r="37" spans="3:17" ht="20.100000000000001" customHeight="1" x14ac:dyDescent="0.3">
      <c r="C37" s="3"/>
      <c r="D37" s="3"/>
      <c r="E37" s="3"/>
      <c r="F37" s="6"/>
      <c r="G37" s="6"/>
      <c r="H37" s="6"/>
      <c r="I37" s="6"/>
      <c r="J37" s="6"/>
      <c r="K37" s="6"/>
      <c r="L37" s="3"/>
      <c r="M37" s="3"/>
      <c r="N37" s="3"/>
      <c r="O37" s="3"/>
      <c r="P37" s="2"/>
      <c r="Q37" s="2"/>
    </row>
    <row r="38" spans="3:17" ht="20.100000000000001" customHeight="1" x14ac:dyDescent="0.3">
      <c r="C38" s="3"/>
      <c r="D38" s="3"/>
      <c r="E38" s="3"/>
      <c r="F38" s="6"/>
      <c r="G38" s="6"/>
      <c r="H38" s="6"/>
      <c r="I38" s="6"/>
      <c r="J38" s="6"/>
      <c r="K38" s="6"/>
      <c r="L38" s="3"/>
      <c r="M38" s="3"/>
      <c r="N38" s="3"/>
      <c r="O38" s="3"/>
      <c r="P38" s="2"/>
      <c r="Q38" s="2"/>
    </row>
    <row r="39" spans="3:17" ht="20.100000000000001" customHeight="1" x14ac:dyDescent="0.3">
      <c r="C39" s="3"/>
      <c r="D39" s="3"/>
      <c r="E39" s="3"/>
      <c r="F39" s="6"/>
      <c r="G39" s="6"/>
      <c r="H39" s="6"/>
      <c r="I39" s="6"/>
      <c r="J39" s="6"/>
      <c r="K39" s="6"/>
      <c r="L39" s="3"/>
      <c r="M39" s="3"/>
      <c r="N39" s="3"/>
      <c r="O39" s="3"/>
      <c r="P39" s="2"/>
      <c r="Q39" s="2"/>
    </row>
    <row r="40" spans="3:17" ht="20.100000000000001" customHeight="1" x14ac:dyDescent="0.3">
      <c r="C40" s="3"/>
      <c r="D40" s="3"/>
      <c r="E40" s="3"/>
      <c r="F40" s="6"/>
      <c r="G40" s="6"/>
      <c r="H40" s="6"/>
      <c r="I40" s="6"/>
      <c r="J40" s="6"/>
      <c r="K40" s="6"/>
      <c r="L40" s="3"/>
      <c r="M40" s="3"/>
      <c r="N40" s="3"/>
      <c r="O40" s="3"/>
      <c r="P40" s="2"/>
      <c r="Q40" s="2"/>
    </row>
    <row r="41" spans="3:17" ht="20.100000000000001" customHeight="1" x14ac:dyDescent="0.3">
      <c r="C41" s="3"/>
      <c r="D41" s="3"/>
      <c r="E41" s="3"/>
      <c r="F41" s="6"/>
      <c r="G41" s="6"/>
      <c r="H41" s="6"/>
      <c r="I41" s="6"/>
      <c r="J41" s="6"/>
      <c r="K41" s="6"/>
      <c r="L41" s="3"/>
      <c r="M41" s="3"/>
      <c r="N41" s="3"/>
      <c r="O41" s="3"/>
      <c r="P41" s="2"/>
      <c r="Q41" s="2"/>
    </row>
    <row r="42" spans="3:17" ht="20.100000000000001" customHeight="1" x14ac:dyDescent="0.3">
      <c r="C42" s="3"/>
      <c r="D42" s="3"/>
      <c r="E42" s="3"/>
      <c r="F42" s="6"/>
      <c r="G42" s="6"/>
      <c r="H42" s="6"/>
      <c r="I42" s="6"/>
      <c r="J42" s="6"/>
      <c r="K42" s="6"/>
      <c r="L42" s="3"/>
      <c r="M42" s="3"/>
      <c r="N42" s="3"/>
      <c r="O42" s="3"/>
      <c r="P42" s="2"/>
      <c r="Q42" s="2"/>
    </row>
    <row r="43" spans="3:17" ht="20.100000000000001" customHeight="1" x14ac:dyDescent="0.3">
      <c r="C43" s="3"/>
      <c r="D43" s="3"/>
      <c r="E43" s="3"/>
      <c r="F43" s="6"/>
      <c r="G43" s="6"/>
      <c r="H43" s="6"/>
      <c r="I43" s="6"/>
      <c r="J43" s="6"/>
      <c r="K43" s="6"/>
      <c r="L43" s="3"/>
      <c r="M43" s="3"/>
      <c r="N43" s="3"/>
      <c r="O43" s="3"/>
      <c r="P43" s="2"/>
      <c r="Q43" s="2"/>
    </row>
    <row r="44" spans="3:17" ht="20.100000000000001" customHeight="1" x14ac:dyDescent="0.3">
      <c r="C44" s="3"/>
      <c r="D44" s="3"/>
      <c r="E44" s="3"/>
      <c r="F44" s="6"/>
      <c r="G44" s="6"/>
      <c r="H44" s="6"/>
      <c r="I44" s="6"/>
      <c r="J44" s="6"/>
      <c r="K44" s="6"/>
      <c r="L44" s="3"/>
      <c r="M44" s="3"/>
      <c r="N44" s="3"/>
      <c r="O44" s="3"/>
      <c r="P44" s="2"/>
      <c r="Q44" s="2"/>
    </row>
    <row r="45" spans="3:17" ht="20.100000000000001" customHeight="1" x14ac:dyDescent="0.3">
      <c r="C45" s="2"/>
      <c r="D45" s="2"/>
      <c r="E45" s="2"/>
      <c r="F45" s="5"/>
      <c r="G45" s="5"/>
      <c r="H45" s="5"/>
      <c r="I45" s="5"/>
      <c r="J45" s="5"/>
      <c r="K45" s="5"/>
      <c r="L45" s="2"/>
      <c r="M45" s="2"/>
      <c r="N45" s="2"/>
      <c r="O45" s="2"/>
      <c r="P45" s="2"/>
      <c r="Q45" s="2"/>
    </row>
    <row r="46" spans="3:17" ht="20.100000000000001" customHeight="1" x14ac:dyDescent="0.3"/>
    <row r="47" spans="3:17" ht="20.100000000000001" customHeight="1" x14ac:dyDescent="0.3"/>
    <row r="48" spans="3:17" ht="20.100000000000001" customHeight="1" x14ac:dyDescent="0.3"/>
    <row r="49" ht="20.100000000000001" customHeight="1" x14ac:dyDescent="0.3"/>
    <row r="50" ht="20.100000000000001" customHeight="1" x14ac:dyDescent="0.3"/>
    <row r="51" ht="20.100000000000001" customHeight="1" x14ac:dyDescent="0.3"/>
  </sheetData>
  <mergeCells count="6">
    <mergeCell ref="D16:D27"/>
    <mergeCell ref="E27:J27"/>
    <mergeCell ref="C4:C28"/>
    <mergeCell ref="D28:J28"/>
    <mergeCell ref="D4:D15"/>
    <mergeCell ref="E15:J15"/>
  </mergeCells>
  <phoneticPr fontId="1" type="noConversion"/>
  <printOptions horizontalCentered="1" verticalCentered="1"/>
  <pageMargins left="0.39370078740157483" right="0.39370078740157483" top="0.19685039370078741" bottom="0.19685039370078741" header="0" footer="0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87"/>
  <sheetViews>
    <sheetView showGridLines="0" zoomScaleNormal="100" workbookViewId="0">
      <selection activeCell="H24" sqref="H24"/>
    </sheetView>
  </sheetViews>
  <sheetFormatPr defaultRowHeight="16.5" x14ac:dyDescent="0.3"/>
  <cols>
    <col min="1" max="2" width="0.875" customWidth="1"/>
    <col min="3" max="4" width="4.625" customWidth="1"/>
    <col min="5" max="5" width="18.75" customWidth="1"/>
    <col min="6" max="6" width="40" customWidth="1"/>
    <col min="7" max="7" width="13.75" customWidth="1"/>
    <col min="8" max="8" width="32.25" customWidth="1"/>
    <col min="9" max="9" width="11.375" customWidth="1"/>
    <col min="10" max="10" width="0.875" customWidth="1"/>
  </cols>
  <sheetData>
    <row r="1" spans="2:15" ht="11.25" customHeight="1" x14ac:dyDescent="0.3"/>
    <row r="2" spans="2:15" ht="24.75" customHeight="1" thickBot="1" x14ac:dyDescent="0.35">
      <c r="B2" s="1" t="s">
        <v>114</v>
      </c>
    </row>
    <row r="3" spans="2:15" ht="18.95" customHeight="1" x14ac:dyDescent="0.3">
      <c r="C3" s="7" t="s">
        <v>44</v>
      </c>
      <c r="D3" s="8" t="s">
        <v>1</v>
      </c>
      <c r="E3" s="8" t="s">
        <v>2</v>
      </c>
      <c r="F3" s="8" t="s">
        <v>3</v>
      </c>
      <c r="G3" s="8" t="s">
        <v>11</v>
      </c>
      <c r="H3" s="9" t="s">
        <v>40</v>
      </c>
      <c r="I3" s="14" t="s">
        <v>5</v>
      </c>
      <c r="J3" s="3"/>
      <c r="K3" s="3"/>
      <c r="L3" s="3"/>
      <c r="M3" s="3"/>
      <c r="N3" s="2"/>
      <c r="O3" s="2"/>
    </row>
    <row r="4" spans="2:15" ht="15" customHeight="1" x14ac:dyDescent="0.3">
      <c r="C4" s="131" t="s">
        <v>69</v>
      </c>
      <c r="D4" s="98" t="s">
        <v>70</v>
      </c>
      <c r="E4" s="27" t="s">
        <v>71</v>
      </c>
      <c r="F4" s="28" t="s">
        <v>73</v>
      </c>
      <c r="G4" s="27"/>
      <c r="H4" s="29"/>
      <c r="I4" s="15"/>
      <c r="J4" s="3"/>
      <c r="K4" s="3"/>
      <c r="L4" s="3"/>
      <c r="M4" s="3"/>
      <c r="N4" s="2"/>
      <c r="O4" s="2"/>
    </row>
    <row r="5" spans="2:15" ht="15" customHeight="1" x14ac:dyDescent="0.3">
      <c r="C5" s="132"/>
      <c r="D5" s="99"/>
      <c r="E5" s="12" t="s">
        <v>72</v>
      </c>
      <c r="F5" s="25" t="s">
        <v>73</v>
      </c>
      <c r="G5" s="12"/>
      <c r="H5" s="20"/>
      <c r="I5" s="16"/>
      <c r="J5" s="3"/>
      <c r="K5" s="3"/>
      <c r="L5" s="3"/>
      <c r="M5" s="3"/>
      <c r="N5" s="2"/>
      <c r="O5" s="2"/>
    </row>
    <row r="6" spans="2:15" ht="15" customHeight="1" x14ac:dyDescent="0.3">
      <c r="C6" s="132"/>
      <c r="D6" s="99"/>
      <c r="E6" s="119" t="s">
        <v>115</v>
      </c>
      <c r="F6" s="119"/>
      <c r="G6" s="119"/>
      <c r="H6" s="130"/>
      <c r="I6" s="18">
        <f>SUM(I4:I5)</f>
        <v>0</v>
      </c>
      <c r="J6" s="3"/>
      <c r="K6" s="3"/>
      <c r="L6" s="3"/>
      <c r="M6" s="3"/>
      <c r="N6" s="2"/>
      <c r="O6" s="2"/>
    </row>
    <row r="7" spans="2:15" ht="15" customHeight="1" x14ac:dyDescent="0.3">
      <c r="C7" s="132"/>
      <c r="D7" s="104" t="s">
        <v>74</v>
      </c>
      <c r="E7" s="12" t="s">
        <v>75</v>
      </c>
      <c r="F7" s="25" t="s">
        <v>82</v>
      </c>
      <c r="G7" s="12"/>
      <c r="H7" s="20"/>
      <c r="I7" s="16"/>
      <c r="J7" s="3"/>
      <c r="K7" s="3"/>
      <c r="L7" s="3"/>
      <c r="M7" s="3"/>
      <c r="N7" s="2"/>
      <c r="O7" s="2"/>
    </row>
    <row r="8" spans="2:15" ht="15" customHeight="1" x14ac:dyDescent="0.3">
      <c r="C8" s="132"/>
      <c r="D8" s="99"/>
      <c r="E8" s="12" t="s">
        <v>76</v>
      </c>
      <c r="F8" s="25"/>
      <c r="G8" s="12"/>
      <c r="H8" s="20"/>
      <c r="I8" s="16"/>
      <c r="J8" s="3"/>
      <c r="K8" s="3"/>
      <c r="L8" s="3"/>
      <c r="M8" s="3"/>
      <c r="N8" s="2"/>
      <c r="O8" s="2"/>
    </row>
    <row r="9" spans="2:15" ht="15" customHeight="1" x14ac:dyDescent="0.3">
      <c r="C9" s="132"/>
      <c r="D9" s="99"/>
      <c r="E9" s="12" t="s">
        <v>77</v>
      </c>
      <c r="F9" s="25" t="s">
        <v>82</v>
      </c>
      <c r="G9" s="12"/>
      <c r="H9" s="20"/>
      <c r="I9" s="16"/>
      <c r="J9" s="3"/>
      <c r="K9" s="3"/>
      <c r="L9" s="3"/>
      <c r="M9" s="3"/>
      <c r="N9" s="2"/>
      <c r="O9" s="2"/>
    </row>
    <row r="10" spans="2:15" ht="15" customHeight="1" x14ac:dyDescent="0.3">
      <c r="C10" s="132"/>
      <c r="D10" s="99"/>
      <c r="E10" s="12" t="s">
        <v>78</v>
      </c>
      <c r="F10" s="25" t="s">
        <v>83</v>
      </c>
      <c r="G10" s="12"/>
      <c r="H10" s="20"/>
      <c r="I10" s="16"/>
      <c r="J10" s="3"/>
      <c r="K10" s="3"/>
      <c r="L10" s="3"/>
      <c r="M10" s="3"/>
      <c r="N10" s="2"/>
      <c r="O10" s="2"/>
    </row>
    <row r="11" spans="2:15" ht="15" customHeight="1" x14ac:dyDescent="0.3">
      <c r="C11" s="132"/>
      <c r="D11" s="99"/>
      <c r="E11" s="10" t="s">
        <v>79</v>
      </c>
      <c r="F11" s="24"/>
      <c r="G11" s="10"/>
      <c r="H11" s="21"/>
      <c r="I11" s="15"/>
      <c r="J11" s="3"/>
      <c r="K11" s="3"/>
      <c r="L11" s="3"/>
      <c r="M11" s="3"/>
      <c r="N11" s="2"/>
      <c r="O11" s="2"/>
    </row>
    <row r="12" spans="2:15" ht="15" customHeight="1" x14ac:dyDescent="0.3">
      <c r="C12" s="132"/>
      <c r="D12" s="99"/>
      <c r="E12" s="10" t="s">
        <v>80</v>
      </c>
      <c r="F12" s="24" t="s">
        <v>84</v>
      </c>
      <c r="G12" s="10"/>
      <c r="H12" s="21"/>
      <c r="I12" s="15"/>
      <c r="J12" s="3"/>
      <c r="K12" s="3"/>
      <c r="L12" s="3"/>
      <c r="M12" s="3"/>
      <c r="N12" s="2"/>
      <c r="O12" s="2"/>
    </row>
    <row r="13" spans="2:15" ht="15" customHeight="1" x14ac:dyDescent="0.3">
      <c r="C13" s="132"/>
      <c r="D13" s="99"/>
      <c r="E13" s="12" t="s">
        <v>81</v>
      </c>
      <c r="F13" s="25" t="s">
        <v>82</v>
      </c>
      <c r="G13" s="12"/>
      <c r="H13" s="20"/>
      <c r="I13" s="16"/>
      <c r="J13" s="3"/>
      <c r="K13" s="3"/>
      <c r="L13" s="3"/>
      <c r="M13" s="3"/>
      <c r="N13" s="2"/>
      <c r="O13" s="2"/>
    </row>
    <row r="14" spans="2:15" ht="15" customHeight="1" x14ac:dyDescent="0.3">
      <c r="C14" s="132"/>
      <c r="D14" s="109"/>
      <c r="E14" s="80" t="s">
        <v>33</v>
      </c>
      <c r="F14" s="80"/>
      <c r="G14" s="80"/>
      <c r="H14" s="81"/>
      <c r="I14" s="17">
        <f>SUM(I7:I13)</f>
        <v>0</v>
      </c>
      <c r="J14" s="3"/>
      <c r="K14" s="3"/>
      <c r="L14" s="3"/>
      <c r="M14" s="3"/>
      <c r="N14" s="2"/>
      <c r="O14" s="2"/>
    </row>
    <row r="15" spans="2:15" ht="15" customHeight="1" x14ac:dyDescent="0.3">
      <c r="C15" s="132"/>
      <c r="D15" s="99" t="s">
        <v>87</v>
      </c>
      <c r="E15" s="10" t="s">
        <v>85</v>
      </c>
      <c r="F15" s="24"/>
      <c r="G15" s="10"/>
      <c r="H15" s="21"/>
      <c r="I15" s="15"/>
      <c r="J15" s="3"/>
      <c r="K15" s="3"/>
      <c r="L15" s="3"/>
      <c r="M15" s="3"/>
      <c r="N15" s="2"/>
      <c r="O15" s="2"/>
    </row>
    <row r="16" spans="2:15" ht="15" customHeight="1" x14ac:dyDescent="0.3">
      <c r="C16" s="132"/>
      <c r="D16" s="99"/>
      <c r="E16" s="12" t="s">
        <v>86</v>
      </c>
      <c r="F16" s="25" t="s">
        <v>26</v>
      </c>
      <c r="G16" s="12"/>
      <c r="H16" s="20"/>
      <c r="I16" s="16"/>
      <c r="J16" s="3"/>
      <c r="K16" s="3"/>
      <c r="L16" s="3"/>
      <c r="M16" s="3"/>
      <c r="N16" s="2"/>
      <c r="O16" s="2"/>
    </row>
    <row r="17" spans="3:15" ht="15" customHeight="1" x14ac:dyDescent="0.3">
      <c r="C17" s="132"/>
      <c r="D17" s="99"/>
      <c r="E17" s="119" t="s">
        <v>33</v>
      </c>
      <c r="F17" s="119"/>
      <c r="G17" s="119"/>
      <c r="H17" s="130"/>
      <c r="I17" s="18">
        <f>SUM(I15:I16)</f>
        <v>0</v>
      </c>
      <c r="J17" s="3"/>
      <c r="K17" s="3"/>
      <c r="L17" s="3"/>
      <c r="M17" s="3"/>
      <c r="N17" s="2"/>
      <c r="O17" s="2"/>
    </row>
    <row r="18" spans="3:15" ht="15" customHeight="1" x14ac:dyDescent="0.3">
      <c r="C18" s="132"/>
      <c r="D18" s="104" t="s">
        <v>88</v>
      </c>
      <c r="E18" s="12" t="s">
        <v>89</v>
      </c>
      <c r="F18" s="25" t="s">
        <v>93</v>
      </c>
      <c r="G18" s="12"/>
      <c r="H18" s="20" t="s">
        <v>96</v>
      </c>
      <c r="I18" s="16"/>
      <c r="J18" s="3"/>
      <c r="K18" s="3"/>
      <c r="L18" s="3"/>
      <c r="M18" s="3"/>
      <c r="N18" s="2"/>
      <c r="O18" s="2"/>
    </row>
    <row r="19" spans="3:15" ht="15" customHeight="1" x14ac:dyDescent="0.3">
      <c r="C19" s="132"/>
      <c r="D19" s="99"/>
      <c r="E19" s="12" t="s">
        <v>90</v>
      </c>
      <c r="F19" s="25" t="s">
        <v>93</v>
      </c>
      <c r="G19" s="12"/>
      <c r="H19" s="20" t="s">
        <v>96</v>
      </c>
      <c r="I19" s="16"/>
      <c r="J19" s="3"/>
      <c r="K19" s="3"/>
      <c r="L19" s="3"/>
      <c r="M19" s="3"/>
      <c r="N19" s="2"/>
      <c r="O19" s="2"/>
    </row>
    <row r="20" spans="3:15" ht="15" customHeight="1" x14ac:dyDescent="0.3">
      <c r="C20" s="132"/>
      <c r="D20" s="99"/>
      <c r="E20" s="12" t="s">
        <v>91</v>
      </c>
      <c r="F20" s="25" t="s">
        <v>94</v>
      </c>
      <c r="G20" s="12"/>
      <c r="H20" s="20" t="s">
        <v>96</v>
      </c>
      <c r="I20" s="16"/>
      <c r="J20" s="3"/>
      <c r="K20" s="3"/>
      <c r="L20" s="3"/>
      <c r="M20" s="3"/>
      <c r="N20" s="2"/>
      <c r="O20" s="2"/>
    </row>
    <row r="21" spans="3:15" ht="15" customHeight="1" x14ac:dyDescent="0.3">
      <c r="C21" s="132"/>
      <c r="D21" s="99"/>
      <c r="E21" s="12" t="s">
        <v>92</v>
      </c>
      <c r="F21" s="25" t="s">
        <v>95</v>
      </c>
      <c r="G21" s="12"/>
      <c r="H21" s="20" t="s">
        <v>96</v>
      </c>
      <c r="I21" s="16"/>
      <c r="J21" s="3"/>
      <c r="K21" s="3"/>
      <c r="L21" s="3"/>
      <c r="M21" s="3"/>
      <c r="N21" s="2"/>
      <c r="O21" s="2"/>
    </row>
    <row r="22" spans="3:15" ht="15" customHeight="1" x14ac:dyDescent="0.3">
      <c r="C22" s="132"/>
      <c r="D22" s="109"/>
      <c r="E22" s="80" t="s">
        <v>33</v>
      </c>
      <c r="F22" s="80"/>
      <c r="G22" s="80"/>
      <c r="H22" s="81"/>
      <c r="I22" s="17">
        <f>SUM(I18:I21)</f>
        <v>0</v>
      </c>
      <c r="J22" s="3"/>
      <c r="K22" s="3"/>
      <c r="L22" s="3"/>
      <c r="M22" s="3"/>
      <c r="N22" s="2"/>
      <c r="O22" s="2"/>
    </row>
    <row r="23" spans="3:15" ht="15" customHeight="1" x14ac:dyDescent="0.3">
      <c r="C23" s="132"/>
      <c r="D23" s="104" t="s">
        <v>88</v>
      </c>
      <c r="E23" s="12" t="s">
        <v>97</v>
      </c>
      <c r="F23" s="25" t="s">
        <v>93</v>
      </c>
      <c r="G23" s="12"/>
      <c r="H23" s="20"/>
      <c r="I23" s="16"/>
      <c r="J23" s="3"/>
      <c r="K23" s="3"/>
      <c r="L23" s="3"/>
      <c r="M23" s="3"/>
      <c r="N23" s="2"/>
      <c r="O23" s="2"/>
    </row>
    <row r="24" spans="3:15" ht="15" customHeight="1" x14ac:dyDescent="0.3">
      <c r="C24" s="132"/>
      <c r="D24" s="99"/>
      <c r="E24" s="12" t="s">
        <v>97</v>
      </c>
      <c r="F24" s="25" t="s">
        <v>93</v>
      </c>
      <c r="G24" s="12"/>
      <c r="H24" s="20"/>
      <c r="I24" s="16"/>
      <c r="J24" s="3"/>
      <c r="K24" s="3"/>
      <c r="L24" s="3"/>
      <c r="M24" s="3"/>
      <c r="N24" s="2"/>
      <c r="O24" s="2"/>
    </row>
    <row r="25" spans="3:15" ht="15" customHeight="1" x14ac:dyDescent="0.3">
      <c r="C25" s="132"/>
      <c r="D25" s="99"/>
      <c r="E25" s="12" t="s">
        <v>98</v>
      </c>
      <c r="F25" s="25" t="s">
        <v>94</v>
      </c>
      <c r="G25" s="12"/>
      <c r="H25" s="20"/>
      <c r="I25" s="16"/>
      <c r="J25" s="3"/>
      <c r="K25" s="3"/>
      <c r="L25" s="3"/>
      <c r="M25" s="3"/>
      <c r="N25" s="2"/>
      <c r="O25" s="2"/>
    </row>
    <row r="26" spans="3:15" ht="15" customHeight="1" x14ac:dyDescent="0.3">
      <c r="C26" s="132"/>
      <c r="D26" s="99"/>
      <c r="E26" s="12" t="s">
        <v>99</v>
      </c>
      <c r="F26" s="25" t="s">
        <v>95</v>
      </c>
      <c r="G26" s="12"/>
      <c r="H26" s="20"/>
      <c r="I26" s="16"/>
      <c r="J26" s="3"/>
      <c r="K26" s="3"/>
      <c r="L26" s="3"/>
      <c r="M26" s="3"/>
      <c r="N26" s="2"/>
      <c r="O26" s="2"/>
    </row>
    <row r="27" spans="3:15" ht="15" customHeight="1" x14ac:dyDescent="0.3">
      <c r="C27" s="132"/>
      <c r="D27" s="99"/>
      <c r="E27" s="12" t="s">
        <v>100</v>
      </c>
      <c r="F27" s="25" t="s">
        <v>93</v>
      </c>
      <c r="G27" s="12"/>
      <c r="H27" s="20"/>
      <c r="I27" s="16"/>
      <c r="J27" s="3"/>
      <c r="K27" s="3"/>
      <c r="L27" s="3"/>
      <c r="M27" s="3"/>
      <c r="N27" s="2"/>
      <c r="O27" s="2"/>
    </row>
    <row r="28" spans="3:15" ht="15" customHeight="1" x14ac:dyDescent="0.3">
      <c r="C28" s="132"/>
      <c r="D28" s="99"/>
      <c r="E28" s="12" t="s">
        <v>101</v>
      </c>
      <c r="F28" s="25" t="s">
        <v>94</v>
      </c>
      <c r="G28" s="12"/>
      <c r="H28" s="20"/>
      <c r="I28" s="16"/>
      <c r="J28" s="3"/>
      <c r="K28" s="3"/>
      <c r="L28" s="3"/>
      <c r="M28" s="3"/>
      <c r="N28" s="2"/>
      <c r="O28" s="2"/>
    </row>
    <row r="29" spans="3:15" ht="15" customHeight="1" x14ac:dyDescent="0.3">
      <c r="C29" s="132"/>
      <c r="D29" s="99"/>
      <c r="E29" s="12" t="s">
        <v>102</v>
      </c>
      <c r="F29" s="25" t="s">
        <v>93</v>
      </c>
      <c r="G29" s="12"/>
      <c r="H29" s="20"/>
      <c r="I29" s="16"/>
      <c r="J29" s="3"/>
      <c r="K29" s="3"/>
      <c r="L29" s="3"/>
      <c r="M29" s="3"/>
      <c r="N29" s="2"/>
      <c r="O29" s="2"/>
    </row>
    <row r="30" spans="3:15" ht="15" customHeight="1" x14ac:dyDescent="0.3">
      <c r="C30" s="132"/>
      <c r="D30" s="99"/>
      <c r="E30" s="12" t="s">
        <v>103</v>
      </c>
      <c r="F30" s="25" t="s">
        <v>94</v>
      </c>
      <c r="G30" s="12"/>
      <c r="H30" s="20"/>
      <c r="I30" s="16"/>
      <c r="J30" s="3"/>
      <c r="K30" s="3"/>
      <c r="L30" s="3"/>
      <c r="M30" s="3"/>
      <c r="N30" s="2"/>
      <c r="O30" s="2"/>
    </row>
    <row r="31" spans="3:15" ht="15" customHeight="1" x14ac:dyDescent="0.3">
      <c r="C31" s="132"/>
      <c r="D31" s="99"/>
      <c r="E31" s="12" t="s">
        <v>104</v>
      </c>
      <c r="F31" s="25" t="s">
        <v>95</v>
      </c>
      <c r="G31" s="12"/>
      <c r="H31" s="20"/>
      <c r="I31" s="16"/>
      <c r="J31" s="3"/>
      <c r="K31" s="3"/>
      <c r="L31" s="3"/>
      <c r="M31" s="3"/>
      <c r="N31" s="2"/>
      <c r="O31" s="2"/>
    </row>
    <row r="32" spans="3:15" ht="15" customHeight="1" x14ac:dyDescent="0.3">
      <c r="C32" s="132"/>
      <c r="D32" s="99"/>
      <c r="E32" s="12" t="s">
        <v>104</v>
      </c>
      <c r="F32" s="25" t="s">
        <v>93</v>
      </c>
      <c r="G32" s="12"/>
      <c r="H32" s="20"/>
      <c r="I32" s="16"/>
      <c r="J32" s="3"/>
      <c r="K32" s="3"/>
      <c r="L32" s="3"/>
      <c r="M32" s="3"/>
      <c r="N32" s="2"/>
      <c r="O32" s="2"/>
    </row>
    <row r="33" spans="3:15" ht="15" customHeight="1" x14ac:dyDescent="0.3">
      <c r="C33" s="132"/>
      <c r="D33" s="99"/>
      <c r="E33" s="12" t="s">
        <v>104</v>
      </c>
      <c r="F33" s="25" t="s">
        <v>94</v>
      </c>
      <c r="G33" s="12"/>
      <c r="H33" s="20"/>
      <c r="I33" s="16"/>
      <c r="J33" s="3"/>
      <c r="K33" s="3"/>
      <c r="L33" s="3"/>
      <c r="M33" s="3"/>
      <c r="N33" s="2"/>
      <c r="O33" s="2"/>
    </row>
    <row r="34" spans="3:15" ht="15" customHeight="1" x14ac:dyDescent="0.3">
      <c r="C34" s="132"/>
      <c r="D34" s="99"/>
      <c r="E34" s="12" t="s">
        <v>105</v>
      </c>
      <c r="F34" s="25" t="s">
        <v>95</v>
      </c>
      <c r="G34" s="12"/>
      <c r="H34" s="20"/>
      <c r="I34" s="16"/>
      <c r="J34" s="3"/>
      <c r="K34" s="3"/>
      <c r="L34" s="3"/>
      <c r="M34" s="3"/>
      <c r="N34" s="2"/>
      <c r="O34" s="2"/>
    </row>
    <row r="35" spans="3:15" ht="15" customHeight="1" x14ac:dyDescent="0.3">
      <c r="C35" s="132"/>
      <c r="D35" s="99"/>
      <c r="E35" s="12" t="s">
        <v>106</v>
      </c>
      <c r="F35" s="25" t="s">
        <v>93</v>
      </c>
      <c r="G35" s="12"/>
      <c r="H35" s="20"/>
      <c r="I35" s="16"/>
      <c r="J35" s="3"/>
      <c r="K35" s="3"/>
      <c r="L35" s="3"/>
      <c r="M35" s="3"/>
      <c r="N35" s="2"/>
      <c r="O35" s="2"/>
    </row>
    <row r="36" spans="3:15" ht="15" customHeight="1" x14ac:dyDescent="0.3">
      <c r="C36" s="132"/>
      <c r="D36" s="99"/>
      <c r="E36" s="12" t="s">
        <v>107</v>
      </c>
      <c r="F36" s="25" t="s">
        <v>94</v>
      </c>
      <c r="G36" s="12"/>
      <c r="H36" s="20"/>
      <c r="I36" s="16"/>
      <c r="J36" s="3"/>
      <c r="K36" s="3"/>
      <c r="L36" s="3"/>
      <c r="M36" s="3"/>
      <c r="N36" s="2"/>
      <c r="O36" s="2"/>
    </row>
    <row r="37" spans="3:15" ht="15" customHeight="1" x14ac:dyDescent="0.3">
      <c r="C37" s="132"/>
      <c r="D37" s="99"/>
      <c r="E37" s="12" t="s">
        <v>108</v>
      </c>
      <c r="F37" s="25" t="s">
        <v>95</v>
      </c>
      <c r="G37" s="12"/>
      <c r="H37" s="20"/>
      <c r="I37" s="16"/>
      <c r="J37" s="3"/>
      <c r="K37" s="3"/>
      <c r="L37" s="3"/>
      <c r="M37" s="3"/>
      <c r="N37" s="2"/>
      <c r="O37" s="2"/>
    </row>
    <row r="38" spans="3:15" ht="15" customHeight="1" x14ac:dyDescent="0.3">
      <c r="C38" s="132"/>
      <c r="D38" s="99"/>
      <c r="E38" s="12" t="s">
        <v>108</v>
      </c>
      <c r="F38" s="25" t="s">
        <v>93</v>
      </c>
      <c r="G38" s="12"/>
      <c r="H38" s="20"/>
      <c r="I38" s="16"/>
      <c r="J38" s="3"/>
      <c r="K38" s="3"/>
      <c r="L38" s="3"/>
      <c r="M38" s="3"/>
      <c r="N38" s="2"/>
      <c r="O38" s="2"/>
    </row>
    <row r="39" spans="3:15" ht="15" customHeight="1" x14ac:dyDescent="0.3">
      <c r="C39" s="132"/>
      <c r="D39" s="99"/>
      <c r="E39" s="12" t="s">
        <v>108</v>
      </c>
      <c r="F39" s="25" t="s">
        <v>94</v>
      </c>
      <c r="G39" s="12"/>
      <c r="H39" s="20"/>
      <c r="I39" s="16"/>
      <c r="J39" s="3"/>
      <c r="K39" s="3"/>
      <c r="L39" s="3"/>
      <c r="M39" s="3"/>
      <c r="N39" s="2"/>
      <c r="O39" s="2"/>
    </row>
    <row r="40" spans="3:15" ht="15" customHeight="1" x14ac:dyDescent="0.3">
      <c r="C40" s="132"/>
      <c r="D40" s="99"/>
      <c r="E40" s="12" t="s">
        <v>109</v>
      </c>
      <c r="F40" s="25" t="s">
        <v>94</v>
      </c>
      <c r="G40" s="12"/>
      <c r="H40" s="20"/>
      <c r="I40" s="16"/>
      <c r="J40" s="3"/>
      <c r="K40" s="3"/>
      <c r="L40" s="3"/>
      <c r="M40" s="3"/>
      <c r="N40" s="2"/>
      <c r="O40" s="2"/>
    </row>
    <row r="41" spans="3:15" ht="15" customHeight="1" x14ac:dyDescent="0.3">
      <c r="C41" s="132"/>
      <c r="D41" s="99"/>
      <c r="E41" s="12" t="s">
        <v>110</v>
      </c>
      <c r="F41" s="25" t="s">
        <v>95</v>
      </c>
      <c r="G41" s="12"/>
      <c r="H41" s="20"/>
      <c r="I41" s="16"/>
      <c r="J41" s="3"/>
      <c r="K41" s="3"/>
      <c r="L41" s="3"/>
      <c r="M41" s="3"/>
      <c r="N41" s="2"/>
      <c r="O41" s="2"/>
    </row>
    <row r="42" spans="3:15" ht="15" customHeight="1" x14ac:dyDescent="0.3">
      <c r="C42" s="132"/>
      <c r="D42" s="99"/>
      <c r="E42" s="12" t="s">
        <v>111</v>
      </c>
      <c r="F42" s="25" t="s">
        <v>93</v>
      </c>
      <c r="G42" s="12"/>
      <c r="H42" s="20"/>
      <c r="I42" s="16"/>
      <c r="J42" s="3"/>
      <c r="K42" s="3"/>
      <c r="L42" s="3"/>
      <c r="M42" s="3"/>
      <c r="N42" s="2"/>
      <c r="O42" s="2"/>
    </row>
    <row r="43" spans="3:15" ht="15" customHeight="1" x14ac:dyDescent="0.3">
      <c r="C43" s="132"/>
      <c r="D43" s="99"/>
      <c r="E43" s="12" t="s">
        <v>111</v>
      </c>
      <c r="F43" s="25" t="s">
        <v>94</v>
      </c>
      <c r="G43" s="12"/>
      <c r="H43" s="20"/>
      <c r="I43" s="16"/>
      <c r="J43" s="3"/>
      <c r="K43" s="3"/>
      <c r="L43" s="3"/>
      <c r="M43" s="3"/>
      <c r="N43" s="2"/>
      <c r="O43" s="2"/>
    </row>
    <row r="44" spans="3:15" ht="15" customHeight="1" x14ac:dyDescent="0.3">
      <c r="C44" s="132"/>
      <c r="D44" s="99"/>
      <c r="E44" s="12" t="s">
        <v>111</v>
      </c>
      <c r="F44" s="25" t="s">
        <v>93</v>
      </c>
      <c r="G44" s="12"/>
      <c r="H44" s="20"/>
      <c r="I44" s="16"/>
      <c r="J44" s="3"/>
      <c r="K44" s="3"/>
      <c r="L44" s="3"/>
      <c r="M44" s="3"/>
      <c r="N44" s="2"/>
      <c r="O44" s="2"/>
    </row>
    <row r="45" spans="3:15" ht="15" customHeight="1" x14ac:dyDescent="0.3">
      <c r="C45" s="132"/>
      <c r="D45" s="99"/>
      <c r="E45" s="12" t="s">
        <v>111</v>
      </c>
      <c r="F45" s="25" t="s">
        <v>94</v>
      </c>
      <c r="G45" s="12"/>
      <c r="H45" s="20"/>
      <c r="I45" s="16"/>
      <c r="J45" s="3"/>
      <c r="K45" s="3"/>
      <c r="L45" s="3"/>
      <c r="M45" s="3"/>
      <c r="N45" s="2"/>
      <c r="O45" s="2"/>
    </row>
    <row r="46" spans="3:15" ht="15" customHeight="1" x14ac:dyDescent="0.3">
      <c r="C46" s="132"/>
      <c r="D46" s="99"/>
      <c r="E46" s="12" t="s">
        <v>111</v>
      </c>
      <c r="F46" s="25" t="s">
        <v>95</v>
      </c>
      <c r="G46" s="12"/>
      <c r="H46" s="20"/>
      <c r="I46" s="16"/>
      <c r="J46" s="3"/>
      <c r="K46" s="3"/>
      <c r="L46" s="3"/>
      <c r="M46" s="3"/>
      <c r="N46" s="2"/>
      <c r="O46" s="2"/>
    </row>
    <row r="47" spans="3:15" ht="15" customHeight="1" x14ac:dyDescent="0.3">
      <c r="C47" s="132"/>
      <c r="D47" s="99"/>
      <c r="E47" s="12" t="s">
        <v>111</v>
      </c>
      <c r="F47" s="25" t="s">
        <v>93</v>
      </c>
      <c r="G47" s="12"/>
      <c r="H47" s="20"/>
      <c r="I47" s="16"/>
      <c r="J47" s="3"/>
      <c r="K47" s="3"/>
      <c r="L47" s="3"/>
      <c r="M47" s="3"/>
      <c r="N47" s="2"/>
      <c r="O47" s="2"/>
    </row>
    <row r="48" spans="3:15" ht="15" customHeight="1" x14ac:dyDescent="0.3">
      <c r="C48" s="132"/>
      <c r="D48" s="99"/>
      <c r="E48" s="12" t="s">
        <v>111</v>
      </c>
      <c r="F48" s="25" t="s">
        <v>94</v>
      </c>
      <c r="G48" s="12"/>
      <c r="H48" s="20"/>
      <c r="I48" s="16"/>
      <c r="J48" s="3"/>
      <c r="K48" s="3"/>
      <c r="L48" s="3"/>
      <c r="M48" s="3"/>
      <c r="N48" s="2"/>
      <c r="O48" s="2"/>
    </row>
    <row r="49" spans="3:15" ht="15" customHeight="1" x14ac:dyDescent="0.3">
      <c r="C49" s="132"/>
      <c r="D49" s="99"/>
      <c r="E49" s="12" t="s">
        <v>111</v>
      </c>
      <c r="F49" s="25" t="s">
        <v>95</v>
      </c>
      <c r="G49" s="12"/>
      <c r="H49" s="20"/>
      <c r="I49" s="16"/>
      <c r="J49" s="3"/>
      <c r="K49" s="3"/>
      <c r="L49" s="3"/>
      <c r="M49" s="3"/>
      <c r="N49" s="2"/>
      <c r="O49" s="2"/>
    </row>
    <row r="50" spans="3:15" ht="15" customHeight="1" x14ac:dyDescent="0.3">
      <c r="C50" s="132"/>
      <c r="D50" s="99"/>
      <c r="E50" s="12" t="s">
        <v>111</v>
      </c>
      <c r="F50" s="25" t="s">
        <v>93</v>
      </c>
      <c r="G50" s="12"/>
      <c r="H50" s="20"/>
      <c r="I50" s="16"/>
      <c r="J50" s="3"/>
      <c r="K50" s="3"/>
      <c r="L50" s="3"/>
      <c r="M50" s="3"/>
      <c r="N50" s="2"/>
      <c r="O50" s="2"/>
    </row>
    <row r="51" spans="3:15" ht="15" customHeight="1" x14ac:dyDescent="0.3">
      <c r="C51" s="132"/>
      <c r="D51" s="99"/>
      <c r="E51" s="12" t="s">
        <v>112</v>
      </c>
      <c r="F51" s="25" t="s">
        <v>94</v>
      </c>
      <c r="G51" s="12"/>
      <c r="H51" s="20"/>
      <c r="I51" s="16"/>
      <c r="J51" s="3"/>
      <c r="K51" s="3"/>
      <c r="L51" s="3"/>
      <c r="M51" s="3"/>
      <c r="N51" s="2"/>
      <c r="O51" s="2"/>
    </row>
    <row r="52" spans="3:15" ht="15" customHeight="1" x14ac:dyDescent="0.3">
      <c r="C52" s="132"/>
      <c r="D52" s="99"/>
      <c r="E52" s="12" t="s">
        <v>112</v>
      </c>
      <c r="F52" s="25" t="s">
        <v>95</v>
      </c>
      <c r="G52" s="12"/>
      <c r="H52" s="20"/>
      <c r="I52" s="16"/>
      <c r="J52" s="3"/>
      <c r="K52" s="3"/>
      <c r="L52" s="3"/>
      <c r="M52" s="3"/>
      <c r="N52" s="2"/>
      <c r="O52" s="2"/>
    </row>
    <row r="53" spans="3:15" ht="15" customHeight="1" x14ac:dyDescent="0.3">
      <c r="C53" s="132"/>
      <c r="D53" s="99"/>
      <c r="E53" s="12" t="s">
        <v>112</v>
      </c>
      <c r="F53" s="25" t="s">
        <v>93</v>
      </c>
      <c r="G53" s="12"/>
      <c r="H53" s="20"/>
      <c r="I53" s="16"/>
      <c r="J53" s="3"/>
      <c r="K53" s="3"/>
      <c r="L53" s="3"/>
      <c r="M53" s="3"/>
      <c r="N53" s="2"/>
      <c r="O53" s="2"/>
    </row>
    <row r="54" spans="3:15" ht="15" customHeight="1" x14ac:dyDescent="0.3">
      <c r="C54" s="132"/>
      <c r="D54" s="99"/>
      <c r="E54" s="12" t="s">
        <v>112</v>
      </c>
      <c r="F54" s="25" t="s">
        <v>94</v>
      </c>
      <c r="G54" s="12"/>
      <c r="H54" s="20"/>
      <c r="I54" s="16"/>
      <c r="J54" s="3"/>
      <c r="K54" s="3"/>
      <c r="L54" s="3"/>
      <c r="M54" s="3"/>
      <c r="N54" s="2"/>
      <c r="O54" s="2"/>
    </row>
    <row r="55" spans="3:15" ht="15" customHeight="1" x14ac:dyDescent="0.3">
      <c r="C55" s="132"/>
      <c r="D55" s="99"/>
      <c r="E55" s="12" t="s">
        <v>112</v>
      </c>
      <c r="F55" s="25" t="s">
        <v>93</v>
      </c>
      <c r="G55" s="12"/>
      <c r="H55" s="20"/>
      <c r="I55" s="16"/>
      <c r="J55" s="3"/>
      <c r="K55" s="3"/>
      <c r="L55" s="3"/>
      <c r="M55" s="3"/>
      <c r="N55" s="2"/>
      <c r="O55" s="2"/>
    </row>
    <row r="56" spans="3:15" ht="15" customHeight="1" x14ac:dyDescent="0.3">
      <c r="C56" s="132"/>
      <c r="D56" s="99"/>
      <c r="E56" s="12" t="s">
        <v>112</v>
      </c>
      <c r="F56" s="25" t="s">
        <v>94</v>
      </c>
      <c r="G56" s="12"/>
      <c r="H56" s="20"/>
      <c r="I56" s="16"/>
      <c r="J56" s="3"/>
      <c r="K56" s="3"/>
      <c r="L56" s="3"/>
      <c r="M56" s="3"/>
      <c r="N56" s="2"/>
      <c r="O56" s="2"/>
    </row>
    <row r="57" spans="3:15" ht="15" customHeight="1" x14ac:dyDescent="0.3">
      <c r="C57" s="132"/>
      <c r="D57" s="99"/>
      <c r="E57" s="12" t="s">
        <v>112</v>
      </c>
      <c r="F57" s="25" t="s">
        <v>95</v>
      </c>
      <c r="G57" s="12"/>
      <c r="H57" s="20"/>
      <c r="I57" s="16"/>
      <c r="J57" s="3"/>
      <c r="K57" s="3"/>
      <c r="L57" s="3"/>
      <c r="M57" s="3"/>
      <c r="N57" s="2"/>
      <c r="O57" s="2"/>
    </row>
    <row r="58" spans="3:15" ht="15" customHeight="1" x14ac:dyDescent="0.3">
      <c r="C58" s="132"/>
      <c r="D58" s="99"/>
      <c r="E58" s="12" t="s">
        <v>24</v>
      </c>
      <c r="F58" s="25" t="s">
        <v>93</v>
      </c>
      <c r="G58" s="12"/>
      <c r="H58" s="20"/>
      <c r="I58" s="16"/>
      <c r="J58" s="3"/>
      <c r="K58" s="3"/>
      <c r="L58" s="3"/>
      <c r="M58" s="3"/>
      <c r="N58" s="2"/>
      <c r="O58" s="2"/>
    </row>
    <row r="59" spans="3:15" ht="15" customHeight="1" x14ac:dyDescent="0.3">
      <c r="C59" s="132"/>
      <c r="D59" s="99"/>
      <c r="E59" s="12" t="s">
        <v>109</v>
      </c>
      <c r="F59" s="25" t="s">
        <v>94</v>
      </c>
      <c r="G59" s="12"/>
      <c r="H59" s="20"/>
      <c r="I59" s="16"/>
      <c r="J59" s="3"/>
      <c r="K59" s="3"/>
      <c r="L59" s="3"/>
      <c r="M59" s="3"/>
      <c r="N59" s="2"/>
      <c r="O59" s="2"/>
    </row>
    <row r="60" spans="3:15" ht="15" customHeight="1" x14ac:dyDescent="0.3">
      <c r="C60" s="132"/>
      <c r="D60" s="99"/>
      <c r="E60" s="12" t="s">
        <v>113</v>
      </c>
      <c r="F60" s="25" t="s">
        <v>95</v>
      </c>
      <c r="G60" s="12"/>
      <c r="H60" s="20"/>
      <c r="I60" s="16"/>
      <c r="J60" s="3"/>
      <c r="K60" s="3"/>
      <c r="L60" s="3"/>
      <c r="M60" s="3"/>
      <c r="N60" s="2"/>
      <c r="O60" s="2"/>
    </row>
    <row r="61" spans="3:15" ht="15" customHeight="1" x14ac:dyDescent="0.3">
      <c r="C61" s="132"/>
      <c r="D61" s="99"/>
      <c r="E61" s="80" t="s">
        <v>33</v>
      </c>
      <c r="F61" s="80"/>
      <c r="G61" s="80"/>
      <c r="H61" s="81"/>
      <c r="I61" s="17">
        <f>SUM(I23:I60)</f>
        <v>0</v>
      </c>
      <c r="J61" s="3"/>
      <c r="K61" s="3"/>
      <c r="L61" s="3"/>
      <c r="M61" s="3"/>
      <c r="N61" s="2"/>
      <c r="O61" s="2"/>
    </row>
    <row r="62" spans="3:15" ht="15" customHeight="1" x14ac:dyDescent="0.3">
      <c r="C62" s="128" t="s">
        <v>120</v>
      </c>
      <c r="D62" s="129"/>
      <c r="E62" s="32" t="s">
        <v>116</v>
      </c>
      <c r="F62" s="32" t="s">
        <v>117</v>
      </c>
      <c r="G62" s="32" t="s">
        <v>118</v>
      </c>
      <c r="H62" s="33" t="s">
        <v>119</v>
      </c>
      <c r="I62" s="31"/>
      <c r="J62" s="3"/>
      <c r="K62" s="3"/>
      <c r="L62" s="3"/>
      <c r="M62" s="3"/>
      <c r="N62" s="2"/>
      <c r="O62" s="2"/>
    </row>
    <row r="63" spans="3:15" ht="15" customHeight="1" thickBot="1" x14ac:dyDescent="0.35">
      <c r="C63" s="125" t="s">
        <v>46</v>
      </c>
      <c r="D63" s="126"/>
      <c r="E63" s="126"/>
      <c r="F63" s="126"/>
      <c r="G63" s="126"/>
      <c r="H63" s="127"/>
      <c r="I63" s="30">
        <f>+I6+I14+I17+I22+I61+I62</f>
        <v>0</v>
      </c>
      <c r="J63" s="3"/>
      <c r="K63" s="3"/>
      <c r="L63" s="3"/>
      <c r="M63" s="3"/>
      <c r="N63" s="2"/>
      <c r="O63" s="2"/>
    </row>
    <row r="64" spans="3:15" ht="20.100000000000001" customHeight="1" x14ac:dyDescent="0.3">
      <c r="C64" s="3"/>
      <c r="D64" s="6"/>
      <c r="E64" s="6"/>
      <c r="F64" s="6"/>
      <c r="G64" s="6"/>
      <c r="H64" s="6"/>
      <c r="I64" s="6"/>
      <c r="J64" s="3"/>
      <c r="K64" s="3"/>
      <c r="L64" s="3"/>
      <c r="M64" s="3"/>
      <c r="N64" s="2"/>
      <c r="O64" s="2"/>
    </row>
    <row r="65" spans="3:15" ht="20.100000000000001" customHeight="1" x14ac:dyDescent="0.3">
      <c r="C65" s="3"/>
      <c r="D65" s="6"/>
      <c r="E65" s="6"/>
      <c r="F65" s="6"/>
      <c r="G65" s="6"/>
      <c r="H65" s="6"/>
      <c r="I65" s="6"/>
      <c r="J65" s="3"/>
      <c r="K65" s="3"/>
      <c r="L65" s="3"/>
      <c r="M65" s="3"/>
      <c r="N65" s="2"/>
      <c r="O65" s="2"/>
    </row>
    <row r="66" spans="3:15" ht="20.100000000000001" customHeight="1" x14ac:dyDescent="0.3">
      <c r="C66" s="3"/>
      <c r="D66" s="6"/>
      <c r="E66" s="6"/>
      <c r="F66" s="6"/>
      <c r="G66" s="6"/>
      <c r="H66" s="6"/>
      <c r="I66" s="6"/>
      <c r="J66" s="3"/>
      <c r="K66" s="3"/>
      <c r="L66" s="3"/>
      <c r="M66" s="3"/>
      <c r="N66" s="2"/>
      <c r="O66" s="2"/>
    </row>
    <row r="67" spans="3:15" ht="20.100000000000001" customHeight="1" x14ac:dyDescent="0.3">
      <c r="C67" s="3"/>
      <c r="D67" s="6"/>
      <c r="E67" s="6"/>
      <c r="F67" s="6"/>
      <c r="G67" s="6"/>
      <c r="H67" s="6"/>
      <c r="I67" s="6"/>
      <c r="J67" s="3"/>
      <c r="K67" s="3"/>
      <c r="L67" s="3"/>
      <c r="M67" s="3"/>
      <c r="N67" s="2"/>
      <c r="O67" s="2"/>
    </row>
    <row r="68" spans="3:15" ht="20.100000000000001" customHeight="1" x14ac:dyDescent="0.3">
      <c r="C68" s="3"/>
      <c r="D68" s="6"/>
      <c r="E68" s="6"/>
      <c r="F68" s="6"/>
      <c r="G68" s="6"/>
      <c r="H68" s="6"/>
      <c r="I68" s="6"/>
      <c r="J68" s="3"/>
      <c r="K68" s="3"/>
      <c r="L68" s="3"/>
      <c r="M68" s="3"/>
      <c r="N68" s="2"/>
      <c r="O68" s="2"/>
    </row>
    <row r="69" spans="3:15" ht="20.100000000000001" customHeight="1" x14ac:dyDescent="0.3">
      <c r="C69" s="3"/>
      <c r="D69" s="6"/>
      <c r="E69" s="6"/>
      <c r="F69" s="6"/>
      <c r="G69" s="6"/>
      <c r="H69" s="6"/>
      <c r="I69" s="6"/>
      <c r="J69" s="3"/>
      <c r="K69" s="3"/>
      <c r="L69" s="3"/>
      <c r="M69" s="3"/>
      <c r="N69" s="2"/>
      <c r="O69" s="2"/>
    </row>
    <row r="70" spans="3:15" ht="20.100000000000001" customHeight="1" x14ac:dyDescent="0.3">
      <c r="C70" s="3"/>
      <c r="D70" s="6"/>
      <c r="E70" s="6"/>
      <c r="F70" s="6"/>
      <c r="G70" s="6"/>
      <c r="H70" s="6"/>
      <c r="I70" s="6"/>
      <c r="J70" s="3"/>
      <c r="K70" s="3"/>
      <c r="L70" s="3"/>
      <c r="M70" s="3"/>
      <c r="N70" s="2"/>
      <c r="O70" s="2"/>
    </row>
    <row r="71" spans="3:15" ht="20.100000000000001" customHeight="1" x14ac:dyDescent="0.3">
      <c r="C71" s="3"/>
      <c r="D71" s="6"/>
      <c r="E71" s="6"/>
      <c r="F71" s="6"/>
      <c r="G71" s="6"/>
      <c r="H71" s="6"/>
      <c r="I71" s="6"/>
      <c r="J71" s="3"/>
      <c r="K71" s="3"/>
      <c r="L71" s="3"/>
      <c r="M71" s="3"/>
      <c r="N71" s="2"/>
      <c r="O71" s="2"/>
    </row>
    <row r="72" spans="3:15" ht="20.100000000000001" customHeight="1" x14ac:dyDescent="0.3">
      <c r="C72" s="3"/>
      <c r="D72" s="6"/>
      <c r="E72" s="6"/>
      <c r="F72" s="6"/>
      <c r="G72" s="6"/>
      <c r="H72" s="6"/>
      <c r="I72" s="6"/>
      <c r="J72" s="3"/>
      <c r="K72" s="3"/>
      <c r="L72" s="3"/>
      <c r="M72" s="3"/>
      <c r="N72" s="2"/>
      <c r="O72" s="2"/>
    </row>
    <row r="73" spans="3:15" ht="20.100000000000001" customHeight="1" x14ac:dyDescent="0.3">
      <c r="C73" s="3"/>
      <c r="D73" s="3"/>
      <c r="E73" s="3"/>
      <c r="F73" s="6"/>
      <c r="G73" s="6"/>
      <c r="H73" s="6"/>
      <c r="I73" s="6"/>
      <c r="J73" s="3"/>
      <c r="K73" s="3"/>
      <c r="L73" s="3"/>
      <c r="M73" s="3"/>
      <c r="N73" s="2"/>
      <c r="O73" s="2"/>
    </row>
    <row r="74" spans="3:15" ht="20.100000000000001" customHeight="1" x14ac:dyDescent="0.3">
      <c r="C74" s="3"/>
      <c r="D74" s="3"/>
      <c r="E74" s="3"/>
      <c r="F74" s="6"/>
      <c r="G74" s="6"/>
      <c r="H74" s="6"/>
      <c r="I74" s="6"/>
      <c r="J74" s="3"/>
      <c r="K74" s="3"/>
      <c r="L74" s="3"/>
      <c r="M74" s="3"/>
      <c r="N74" s="2"/>
      <c r="O74" s="2"/>
    </row>
    <row r="75" spans="3:15" ht="20.100000000000001" customHeight="1" x14ac:dyDescent="0.3">
      <c r="C75" s="3"/>
      <c r="D75" s="3"/>
      <c r="E75" s="3"/>
      <c r="F75" s="6"/>
      <c r="G75" s="6"/>
      <c r="H75" s="6"/>
      <c r="I75" s="6"/>
      <c r="J75" s="3"/>
      <c r="K75" s="3"/>
      <c r="L75" s="3"/>
      <c r="M75" s="3"/>
      <c r="N75" s="2"/>
      <c r="O75" s="2"/>
    </row>
    <row r="76" spans="3:15" ht="20.100000000000001" customHeight="1" x14ac:dyDescent="0.3">
      <c r="C76" s="3"/>
      <c r="D76" s="3"/>
      <c r="E76" s="3"/>
      <c r="F76" s="6"/>
      <c r="G76" s="6"/>
      <c r="H76" s="6"/>
      <c r="I76" s="6"/>
      <c r="J76" s="3"/>
      <c r="K76" s="3"/>
      <c r="L76" s="3"/>
      <c r="M76" s="3"/>
      <c r="N76" s="2"/>
      <c r="O76" s="2"/>
    </row>
    <row r="77" spans="3:15" ht="20.100000000000001" customHeight="1" x14ac:dyDescent="0.3">
      <c r="C77" s="3"/>
      <c r="D77" s="3"/>
      <c r="E77" s="3"/>
      <c r="F77" s="6"/>
      <c r="G77" s="6"/>
      <c r="H77" s="6"/>
      <c r="I77" s="6"/>
      <c r="J77" s="3"/>
      <c r="K77" s="3"/>
      <c r="L77" s="3"/>
      <c r="M77" s="3"/>
      <c r="N77" s="2"/>
      <c r="O77" s="2"/>
    </row>
    <row r="78" spans="3:15" ht="20.100000000000001" customHeight="1" x14ac:dyDescent="0.3">
      <c r="C78" s="3"/>
      <c r="D78" s="3"/>
      <c r="E78" s="3"/>
      <c r="F78" s="6"/>
      <c r="G78" s="6"/>
      <c r="H78" s="6"/>
      <c r="I78" s="6"/>
      <c r="J78" s="3"/>
      <c r="K78" s="3"/>
      <c r="L78" s="3"/>
      <c r="M78" s="3"/>
      <c r="N78" s="2"/>
      <c r="O78" s="2"/>
    </row>
    <row r="79" spans="3:15" ht="20.100000000000001" customHeight="1" x14ac:dyDescent="0.3">
      <c r="C79" s="3"/>
      <c r="D79" s="3"/>
      <c r="E79" s="3"/>
      <c r="F79" s="6"/>
      <c r="G79" s="6"/>
      <c r="H79" s="6"/>
      <c r="I79" s="6"/>
      <c r="J79" s="3"/>
      <c r="K79" s="3"/>
      <c r="L79" s="3"/>
      <c r="M79" s="3"/>
      <c r="N79" s="2"/>
      <c r="O79" s="2"/>
    </row>
    <row r="80" spans="3:15" ht="20.100000000000001" customHeight="1" x14ac:dyDescent="0.3">
      <c r="C80" s="3"/>
      <c r="D80" s="3"/>
      <c r="E80" s="3"/>
      <c r="F80" s="6"/>
      <c r="G80" s="6"/>
      <c r="H80" s="6"/>
      <c r="I80" s="6"/>
      <c r="J80" s="3"/>
      <c r="K80" s="3"/>
      <c r="L80" s="3"/>
      <c r="M80" s="3"/>
      <c r="N80" s="2"/>
      <c r="O80" s="2"/>
    </row>
    <row r="81" spans="3:15" ht="20.100000000000001" customHeight="1" x14ac:dyDescent="0.3">
      <c r="C81" s="2"/>
      <c r="D81" s="2"/>
      <c r="E81" s="2"/>
      <c r="F81" s="5"/>
      <c r="G81" s="5"/>
      <c r="H81" s="5"/>
      <c r="I81" s="5"/>
      <c r="J81" s="2"/>
      <c r="K81" s="2"/>
      <c r="L81" s="2"/>
      <c r="M81" s="2"/>
      <c r="N81" s="2"/>
      <c r="O81" s="2"/>
    </row>
    <row r="82" spans="3:15" ht="20.100000000000001" customHeight="1" x14ac:dyDescent="0.3"/>
    <row r="83" spans="3:15" ht="20.100000000000001" customHeight="1" x14ac:dyDescent="0.3"/>
    <row r="84" spans="3:15" ht="20.100000000000001" customHeight="1" x14ac:dyDescent="0.3"/>
    <row r="85" spans="3:15" ht="20.100000000000001" customHeight="1" x14ac:dyDescent="0.3"/>
    <row r="86" spans="3:15" ht="20.100000000000001" customHeight="1" x14ac:dyDescent="0.3"/>
    <row r="87" spans="3:15" ht="20.100000000000001" customHeight="1" x14ac:dyDescent="0.3"/>
  </sheetData>
  <mergeCells count="13">
    <mergeCell ref="C63:H63"/>
    <mergeCell ref="C62:D62"/>
    <mergeCell ref="D23:D61"/>
    <mergeCell ref="E61:H61"/>
    <mergeCell ref="D4:D6"/>
    <mergeCell ref="E6:H6"/>
    <mergeCell ref="D7:D14"/>
    <mergeCell ref="E14:H14"/>
    <mergeCell ref="D15:D17"/>
    <mergeCell ref="E17:H17"/>
    <mergeCell ref="D18:D22"/>
    <mergeCell ref="E22:H22"/>
    <mergeCell ref="C4:C61"/>
  </mergeCells>
  <phoneticPr fontId="1" type="noConversion"/>
  <printOptions horizontalCentered="1" verticalCentered="1"/>
  <pageMargins left="0.39370078740157483" right="0.39370078740157483" top="0.19685039370078741" bottom="0.19685039370078741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과정개발비</vt:lpstr>
      <vt:lpstr>광고판촉비</vt:lpstr>
      <vt:lpstr>시스템</vt:lpstr>
      <vt:lpstr>세미나</vt:lpstr>
      <vt:lpstr>인건비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cp:lastPrinted>2019-11-15T02:13:04Z</cp:lastPrinted>
  <dcterms:created xsi:type="dcterms:W3CDTF">2019-11-14T08:56:31Z</dcterms:created>
  <dcterms:modified xsi:type="dcterms:W3CDTF">2023-06-19T03:46:58Z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  <property fmtid="{D5CDD505-2E9C-101B-9397-08002B2CF9AE}" pid="3" name="NSCPROP_SA">
    <vt:lpwstr>C:\Users\multicampus\Desktop\실행예싼.xlsx</vt:lpwstr>
  </property>
</Properties>
</file>